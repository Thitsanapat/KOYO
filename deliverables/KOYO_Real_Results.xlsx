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/>
  </mc:AlternateContent>
  <xr:revisionPtr revIDLastSave="0" documentId="8_{3D97773D-A10F-4B52-ACAA-46F84C302DD3}" xr6:coauthVersionLast="47" xr6:coauthVersionMax="47" xr10:uidLastSave="{00000000-0000-0000-0000-000000000000}"/>
  <bookViews>
    <workbookView xWindow="1536" yWindow="1536" windowWidth="17280" windowHeight="8880" xr2:uid="{5AF328FF-0033-4C64-88BB-5EE7F7C22EFD}"/>
  </bookViews>
  <sheets>
    <sheet name="Read Me" sheetId="7" r:id="rId1"/>
    <sheet name="Summary" sheetId="6" r:id="rId2"/>
    <sheet name="Audio Validation" sheetId="5" r:id="rId3"/>
    <sheet name="Historical Daily" sheetId="4" r:id="rId4"/>
    <sheet name="Latest Demo" sheetId="3" r:id="rId5"/>
    <sheet name="Latest Telemetry" sheetId="2" r:id="rId6"/>
    <sheet name="Dashboard Coverage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3" l="1"/>
  <c r="B10" i="6"/>
  <c r="B9" i="6"/>
  <c r="B8" i="6"/>
  <c r="B7" i="6"/>
  <c r="B6" i="6"/>
  <c r="B5" i="6"/>
</calcChain>
</file>

<file path=xl/sharedStrings.xml><?xml version="1.0" encoding="utf-8"?>
<sst xmlns="http://schemas.openxmlformats.org/spreadsheetml/2006/main" count="289" uniqueCount="264">
  <si>
    <t>KOYO Beacon Decoder - Real Results</t>
  </si>
  <si>
    <t>Generated from locally verified project evidence; no fabricated telemetry values.</t>
  </si>
  <si>
    <t>Item</t>
  </si>
  <si>
    <t>Meaning</t>
  </si>
  <si>
    <t>Purpose</t>
  </si>
  <si>
    <t>Provide reviewable project results in one Excel workbook.</t>
  </si>
  <si>
    <t>Direct audio evidence</t>
  </si>
  <si>
    <t>Five SatNOGS OGG observations decoded locally with GNU Radio.</t>
  </si>
  <si>
    <t>Historical evidence</t>
  </si>
  <si>
    <t>SatNOGS-demodulated history; separate from direct OGG proof.</t>
  </si>
  <si>
    <t>Confirmed</t>
  </si>
  <si>
    <t>Validated channel interpretation used for operational output.</t>
  </si>
  <si>
    <t>Candidate</t>
  </si>
  <si>
    <t>Plausible channel behavior; mapping or engineering scale remains unverified.</t>
  </si>
  <si>
    <t>Not decoded</t>
  </si>
  <si>
    <t>No authorized field mapping; no value is invented.</t>
  </si>
  <si>
    <t>Latest</t>
  </si>
  <si>
    <t>Newest uploaded SatNOGS observation, not continuous live RF.</t>
  </si>
  <si>
    <t>Public boundary</t>
  </si>
  <si>
    <t>No raw HEX, byte offsets, confidential documents, or downloaded audio are included.</t>
  </si>
  <si>
    <t>Project Summary</t>
  </si>
  <si>
    <t>Formulas link directly to the evidence sheets in this workbook.</t>
  </si>
  <si>
    <t>Metric</t>
  </si>
  <si>
    <t>Value</t>
  </si>
  <si>
    <t>Interpretation</t>
  </si>
  <si>
    <t>Selected audio observations</t>
  </si>
  <si>
    <t>Controlled direct OGG-to-GNU-Radio sample</t>
  </si>
  <si>
    <t>Passed observations</t>
  </si>
  <si>
    <t>Each has a valid local frame and exact match</t>
  </si>
  <si>
    <t>Valid local KOYO frames</t>
  </si>
  <si>
    <t>CRC-valid 263-byte frames from local audio</t>
  </si>
  <si>
    <t>Official control frames</t>
  </si>
  <si>
    <t>Same-observation SatNOGS controls</t>
  </si>
  <si>
    <t>Byte-exact matches</t>
  </si>
  <si>
    <t>Local frames equal to controls byte for byte</t>
  </si>
  <si>
    <t>Overall exact recovery</t>
  </si>
  <si>
    <t>Local OGG recovery, not spacecraft health</t>
  </si>
  <si>
    <t>Historical UTC days</t>
  </si>
  <si>
    <t>SatNOGS-demodulated historical coverage</t>
  </si>
  <si>
    <t>Historical frames</t>
  </si>
  <si>
    <t>Not all re-demodulated locally from OGG</t>
  </si>
  <si>
    <t>Historical observations</t>
  </si>
  <si>
    <t>Distinct SatNOGS observations</t>
  </si>
  <si>
    <t>Receiving stations</t>
  </si>
  <si>
    <t>Stations represented in historical data</t>
  </si>
  <si>
    <t>Grafana panels</t>
  </si>
  <si>
    <t>Complete target layout</t>
  </si>
  <si>
    <t>Validated Flux queries</t>
  </si>
  <si>
    <t>22 of 22 live query targets passed</t>
  </si>
  <si>
    <t>Observation ID</t>
  </si>
  <si>
    <t>Start UTC</t>
  </si>
  <si>
    <t>Station</t>
  </si>
  <si>
    <t>OGG bytes</t>
  </si>
  <si>
    <t>WAV bytes</t>
  </si>
  <si>
    <t>Captured KISS</t>
  </si>
  <si>
    <t>Valid KOYO</t>
  </si>
  <si>
    <t>Control frames</t>
  </si>
  <si>
    <t>Exact matches</t>
  </si>
  <si>
    <t>Unrecovered</t>
  </si>
  <si>
    <t>Recovery %</t>
  </si>
  <si>
    <t>Result</t>
  </si>
  <si>
    <t>Error</t>
  </si>
  <si>
    <t>2026-07-16T17:47:30Z</t>
  </si>
  <si>
    <t>MAUSyagi</t>
  </si>
  <si>
    <t>PASS</t>
  </si>
  <si>
    <t>2026-07-29T23:33:14Z</t>
  </si>
  <si>
    <t>EA3AGB</t>
  </si>
  <si>
    <t>2026-08-30T16:58:25Z</t>
  </si>
  <si>
    <t>2026-08-30T18:36:38Z</t>
  </si>
  <si>
    <t>W6MSU UHF</t>
  </si>
  <si>
    <t>2026-08-30T18:43:47Z</t>
  </si>
  <si>
    <t>MAUSyagi-AK</t>
  </si>
  <si>
    <t>UTC Date</t>
  </si>
  <si>
    <t>Decoded frames</t>
  </si>
  <si>
    <t>Observations</t>
  </si>
  <si>
    <t>First frame UTC</t>
  </si>
  <si>
    <t>Last frame UTC</t>
  </si>
  <si>
    <t>2026-07-07T08:00:49+00:00</t>
  </si>
  <si>
    <t>2026-07-07T23:14:32+00:00</t>
  </si>
  <si>
    <t>2026-07-08T00:43:14+00:00</t>
  </si>
  <si>
    <t>2026-07-08T23:20:35+00:00</t>
  </si>
  <si>
    <t>2026-07-09T05:47:56+00:00</t>
  </si>
  <si>
    <t>2026-07-09T21:52:34+00:00</t>
  </si>
  <si>
    <t>2026-07-10T04:16:46+00:00</t>
  </si>
  <si>
    <t>2026-07-10T22:05:16+00:00</t>
  </si>
  <si>
    <t>2026-07-11T02:53:29+00:00</t>
  </si>
  <si>
    <t>2026-07-11T23:53:57+00:00</t>
  </si>
  <si>
    <t>2026-07-12T04:39:22+00:00</t>
  </si>
  <si>
    <t>2026-07-12T23:58:58+00:00</t>
  </si>
  <si>
    <t>2026-07-13T00:00:59+00:00</t>
  </si>
  <si>
    <t>2026-07-13T23:55:33+00:00</t>
  </si>
  <si>
    <t>2026-07-14T00:05:48+00:00</t>
  </si>
  <si>
    <t>2026-07-14T22:43:16+00:00</t>
  </si>
  <si>
    <t>2026-07-15T03:30:10+00:00</t>
  </si>
  <si>
    <t>2026-07-15T22:53:23+00:00</t>
  </si>
  <si>
    <t>2026-07-16T05:19:05+00:00</t>
  </si>
  <si>
    <t>2026-07-16T21:27:56+00:00</t>
  </si>
  <si>
    <t>2026-07-17T00:36:57+00:00</t>
  </si>
  <si>
    <t>2026-07-17T22:12:31+00:00</t>
  </si>
  <si>
    <t>2026-07-18T05:36:30+00:00</t>
  </si>
  <si>
    <t>2026-07-18T23:24:06+00:00</t>
  </si>
  <si>
    <t>2026-07-19T05:46:49+00:00</t>
  </si>
  <si>
    <t>2026-07-19T23:33:50+00:00</t>
  </si>
  <si>
    <t>2026-07-20T00:47:21+00:00</t>
  </si>
  <si>
    <t>2026-07-20T23:35:31+00:00</t>
  </si>
  <si>
    <t>2026-07-21T04:29:47+00:00</t>
  </si>
  <si>
    <t>2026-07-21T18:46:24+00:00</t>
  </si>
  <si>
    <t>2026-07-22T05:47:40+00:00</t>
  </si>
  <si>
    <t>2026-07-22T23:57:48+00:00</t>
  </si>
  <si>
    <t>2026-07-23T04:13:11+00:00</t>
  </si>
  <si>
    <t>2026-07-23T22:35:36+00:00</t>
  </si>
  <si>
    <t>2026-07-24T00:06:39+00:00</t>
  </si>
  <si>
    <t>2026-07-24T22:42:49+00:00</t>
  </si>
  <si>
    <t>2026-07-25T00:14:59+00:00</t>
  </si>
  <si>
    <t>2026-07-25T22:53:51+00:00</t>
  </si>
  <si>
    <t>2026-07-26T03:44:29+00:00</t>
  </si>
  <si>
    <t>2026-07-26T23:05:18+00:00</t>
  </si>
  <si>
    <t>2026-07-27T05:32:35+00:00</t>
  </si>
  <si>
    <t>2026-07-27T23:11:36+00:00</t>
  </si>
  <si>
    <t>2026-07-28T05:37:39+00:00</t>
  </si>
  <si>
    <t>2026-07-28T23:23:05+00:00</t>
  </si>
  <si>
    <t>2026-07-29T04:09:07+00:00</t>
  </si>
  <si>
    <t>2026-07-29T23:32:28+00:00</t>
  </si>
  <si>
    <t>2026-07-30T02:13:35+00:00</t>
  </si>
  <si>
    <t>2026-07-30T23:39:38+00:00</t>
  </si>
  <si>
    <t>2026-07-31T03:51:24+00:00</t>
  </si>
  <si>
    <t>2026-07-31T22:15:28+00:00</t>
  </si>
  <si>
    <t>2026-08-01T06:14:41+00:00</t>
  </si>
  <si>
    <t>2026-08-01T23:58:24+00:00</t>
  </si>
  <si>
    <t>2026-08-02T01:17:41+00:00</t>
  </si>
  <si>
    <t>2026-08-02T22:35:44+00:00</t>
  </si>
  <si>
    <t>2026-08-03T00:06:15+00:00</t>
  </si>
  <si>
    <t>2026-08-03T20:49:21+00:00</t>
  </si>
  <si>
    <t>2026-08-04T03:32:22+00:00</t>
  </si>
  <si>
    <t>2026-08-04T22:53:02+00:00</t>
  </si>
  <si>
    <t>2026-08-05T00:22:10+00:00</t>
  </si>
  <si>
    <t>2026-08-05T23:03:12+00:00</t>
  </si>
  <si>
    <t>2026-08-06T03:52:26+00:00</t>
  </si>
  <si>
    <t>2026-08-06T16:25:03+00:00</t>
  </si>
  <si>
    <t>2026-08-07T03:57:08+00:00</t>
  </si>
  <si>
    <t>2026-08-07T23:20:55+00:00</t>
  </si>
  <si>
    <t>2026-08-08T00:08:34+00:00</t>
  </si>
  <si>
    <t>2026-08-08T23:33:02+00:00</t>
  </si>
  <si>
    <t>2026-08-09T02:14:45+00:00</t>
  </si>
  <si>
    <t>2026-08-09T08:53:39+00:00</t>
  </si>
  <si>
    <t>2026-08-10T06:07:53+00:00</t>
  </si>
  <si>
    <t>2026-08-10T23:49:29+00:00</t>
  </si>
  <si>
    <t>2026-08-11T05:41:32+00:00</t>
  </si>
  <si>
    <t>2026-08-11T23:55:57+00:00</t>
  </si>
  <si>
    <t>2026-08-12T00:47:40+00:00</t>
  </si>
  <si>
    <t>2026-08-12T23:48:07+00:00</t>
  </si>
  <si>
    <t>2026-08-13T00:57:12+00:00</t>
  </si>
  <si>
    <t>2026-08-13T22:39:59+00:00</t>
  </si>
  <si>
    <t>2026-08-14T02:14:02+00:00</t>
  </si>
  <si>
    <t>2026-08-14T22:53:14+00:00</t>
  </si>
  <si>
    <t>2026-08-15T03:01:21+00:00</t>
  </si>
  <si>
    <t>2026-08-15T16:10:29+00:00</t>
  </si>
  <si>
    <t>2026-08-16T05:28:56+00:00</t>
  </si>
  <si>
    <t>2026-08-16T23:12:07+00:00</t>
  </si>
  <si>
    <t>2026-08-17T01:53:39+00:00</t>
  </si>
  <si>
    <t>2026-08-17T23:20:34+00:00</t>
  </si>
  <si>
    <t>2026-08-18T03:24:53+00:00</t>
  </si>
  <si>
    <t>2026-08-18T16:42:05+00:00</t>
  </si>
  <si>
    <t>2026-08-19T05:55:44+00:00</t>
  </si>
  <si>
    <t>2026-08-19T23:34:51+00:00</t>
  </si>
  <si>
    <t>2026-08-20T04:27:15+00:00</t>
  </si>
  <si>
    <t>2026-08-20T18:35:24+00:00</t>
  </si>
  <si>
    <t>2026-08-21T06:13:39+00:00</t>
  </si>
  <si>
    <t>2026-08-21T23:56:18+00:00</t>
  </si>
  <si>
    <t>2026-08-22T00:48:59+00:00</t>
  </si>
  <si>
    <t>2026-08-22T17:12:58+00:00</t>
  </si>
  <si>
    <t>2026-08-23T01:15:53+00:00</t>
  </si>
  <si>
    <t>2026-08-23T23:15:54+00:00</t>
  </si>
  <si>
    <t>2026-08-24T02:12:13+00:00</t>
  </si>
  <si>
    <t>2026-08-24T22:51:35+00:00</t>
  </si>
  <si>
    <t>2026-08-25T02:59:56+00:00</t>
  </si>
  <si>
    <t>2026-08-25T23:34:44+00:00</t>
  </si>
  <si>
    <t>2026-08-26T01:42:46+00:00</t>
  </si>
  <si>
    <t>2026-08-26T23:08:53+00:00</t>
  </si>
  <si>
    <t>2026-08-27T00:40:54+00:00</t>
  </si>
  <si>
    <t>2026-08-27T23:22:30+00:00</t>
  </si>
  <si>
    <t>2026-08-28T04:04:42+00:00</t>
  </si>
  <si>
    <t>2026-08-28T19:53:47+00:00</t>
  </si>
  <si>
    <t>2026-08-29T05:54:11+00:00</t>
  </si>
  <si>
    <t>2026-08-29T21:43:35+00:00</t>
  </si>
  <si>
    <t>2026-08-30T05:58:38+00:00</t>
  </si>
  <si>
    <t>2026-08-30T18:35:43+00:00</t>
  </si>
  <si>
    <t>Latest Verified Demo</t>
  </si>
  <si>
    <t>One-command SatNOGS audio -&gt; GNU Radio -&gt; InfluxDB/Grafana result.</t>
  </si>
  <si>
    <t>Source</t>
  </si>
  <si>
    <t>SatNOGS observation audio decoded locally with gr_satellites</t>
  </si>
  <si>
    <t>Actual local run</t>
  </si>
  <si>
    <t>SatNOGS observation</t>
  </si>
  <si>
    <t>Observation start</t>
  </si>
  <si>
    <t>UTC</t>
  </si>
  <si>
    <t>Receiving ground station</t>
  </si>
  <si>
    <t>Diagnostic output from GNU Radio</t>
  </si>
  <si>
    <t>Passed CRC, frame length, path, and type</t>
  </si>
  <si>
    <t>Official controls</t>
  </si>
  <si>
    <t>Same-observation comparison set</t>
  </si>
  <si>
    <t>Strict correctness evidence</t>
  </si>
  <si>
    <t>Recovery</t>
  </si>
  <si>
    <t>Exact matches divided by controls</t>
  </si>
  <si>
    <t>Dashboard write</t>
  </si>
  <si>
    <t>HTTP 204 means successful write</t>
  </si>
  <si>
    <t>Frame</t>
  </si>
  <si>
    <t>RTC UTC</t>
  </si>
  <si>
    <t>Destination</t>
  </si>
  <si>
    <t>Packet counter</t>
  </si>
  <si>
    <t>Uptime hours</t>
  </si>
  <si>
    <t>Boot counter</t>
  </si>
  <si>
    <t>Battery TH0 C</t>
  </si>
  <si>
    <t>Battery TH1 C</t>
  </si>
  <si>
    <t>CDH C</t>
  </si>
  <si>
    <t>ADCS C</t>
  </si>
  <si>
    <t>PIB health</t>
  </si>
  <si>
    <t>SD failures</t>
  </si>
  <si>
    <t>PV candidate 1 V</t>
  </si>
  <si>
    <t>PV candidate 2 V</t>
  </si>
  <si>
    <t>COMM raw candidate</t>
  </si>
  <si>
    <t>2026-08-31T00:05:43.960000+00:00</t>
  </si>
  <si>
    <t>KOYOSC</t>
  </si>
  <si>
    <t>GS-H20</t>
  </si>
  <si>
    <t>2026-08-31T00:12:06.100000+00:00</t>
  </si>
  <si>
    <t>Dashboard Coverage</t>
  </si>
  <si>
    <t>A complete layout does not imply that every telemetry field is decoded.</t>
  </si>
  <si>
    <t>Group</t>
  </si>
  <si>
    <t>Available evidence</t>
  </si>
  <si>
    <t>Confidence</t>
  </si>
  <si>
    <t>Boundary</t>
  </si>
  <si>
    <t>Summary</t>
  </si>
  <si>
    <t>Latest time; boot counter</t>
  </si>
  <si>
    <t>Confirmed + unavailable</t>
  </si>
  <si>
    <t>Mode, battery voltage/current remain NOT DECODED</t>
  </si>
  <si>
    <t>Orbit</t>
  </si>
  <si>
    <t>External 3D viewer</t>
  </si>
  <si>
    <t>External dependency</t>
  </si>
  <si>
    <t>Requires orbit viewer service</t>
  </si>
  <si>
    <t>Beacon decoder</t>
  </si>
  <si>
    <t>PASS, observation, station, frame counts, recovery</t>
  </si>
  <si>
    <t>Includes latest CRC-valid raw HEX in Grafana</t>
  </si>
  <si>
    <t>Solar arrays</t>
  </si>
  <si>
    <t>Two voltage candidates</t>
  </si>
  <si>
    <t>Candidate + unavailable</t>
  </si>
  <si>
    <t>Currents and temperatures remain NOT DECODED</t>
  </si>
  <si>
    <t>Battery</t>
  </si>
  <si>
    <t>TH0 and TH1 temperatures</t>
  </si>
  <si>
    <t>Electrical and heater fields remain NOT DECODED</t>
  </si>
  <si>
    <t>Power distribution</t>
  </si>
  <si>
    <t>Target layout</t>
  </si>
  <si>
    <t>Unavailable</t>
  </si>
  <si>
    <t>No authorized mappings</t>
  </si>
  <si>
    <t>Comms</t>
  </si>
  <si>
    <t>One raw voltage candidate</t>
  </si>
  <si>
    <t>Current and IF MCU current remain NOT DECODED</t>
  </si>
  <si>
    <t>Thermal and health</t>
  </si>
  <si>
    <t>CDH/ADCS temperatures; PIB/SD counters</t>
  </si>
  <si>
    <t>Real historical values</t>
  </si>
  <si>
    <t>OBC</t>
  </si>
  <si>
    <t>Uptime and packet counter</t>
  </si>
  <si>
    <t>Overall</t>
  </si>
  <si>
    <t>43 panels; 22 live Flux targets</t>
  </si>
  <si>
    <t>22/22 passed</t>
  </si>
  <si>
    <t>No fabricated telemetry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</si>
</sst>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%"/>
    <numFmt numFmtId="166" formatCode="0.0"/>
    <numFmt numFmtId="167" formatCode="0.000"/>
  </numFmts>
  <fonts count="4" x14ac:knownFonts="1">
    <font>
      <sz val="11"/>
      <color theme="1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sz val="10"/>
      <color rgb="FF62707E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2202F"/>
        <bgColor indexed="64"/>
      </patternFill>
    </fill>
    <fill>
      <patternFill patternType="solid">
        <fgColor rgb="FFE2F6EA"/>
        <bgColor indexed="64"/>
      </patternFill>
    </fill>
    <fill>
      <patternFill patternType="solid">
        <fgColor rgb="FFFFEF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3" borderId="0" xfId="0" applyFill="1" applyAlignment="1">
      <alignment vertical="center"/>
    </xf>
    <xf numFmtId="14" fontId="0" fillId="0" borderId="0" xfId="0" applyNumberFormat="1" applyAlignment="1">
      <alignment vertical="center"/>
    </xf>
    <xf numFmtId="167" fontId="0" fillId="3" borderId="0" xfId="0" applyNumberFormat="1" applyFill="1" applyAlignment="1">
      <alignment vertical="center"/>
    </xf>
    <xf numFmtId="167" fontId="0" fillId="4" borderId="0" xfId="0" applyNumberFormat="1" applyFill="1" applyAlignment="1">
      <alignment vertical="center"/>
    </xf>
    <xf numFmtId="0" fontId="0" fillId="4" borderId="0" xfId="0" applyFill="1" applyAlignment="1">
      <alignment vertical="center"/>
    </xf>
  </cellXfs>
  <cellStyles count="1">
    <cellStyle name="Normal" xfId="0" builtinId="0"/>
  </cellStyles>
  <dxfs count="61">
    <dxf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2202F"/>
        </patternFill>
      </fill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2202F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EFD5"/>
        </patternFill>
      </fill>
      <alignment vertical="center" textRotation="0" indent="0" justifyLastLine="0" shrinkToFit="0" readingOrder="0"/>
    </dxf>
    <dxf>
      <numFmt numFmtId="167" formatCode="0.000"/>
      <fill>
        <patternFill patternType="solid">
          <fgColor indexed="64"/>
          <bgColor rgb="FFFFEFD5"/>
        </patternFill>
      </fill>
      <alignment vertical="center" textRotation="0" indent="0" justifyLastLine="0" shrinkToFit="0" readingOrder="0"/>
    </dxf>
    <dxf>
      <numFmt numFmtId="167" formatCode="0.000"/>
      <fill>
        <patternFill patternType="solid">
          <fgColor indexed="64"/>
          <bgColor rgb="FFFFEFD5"/>
        </patternFill>
      </fill>
      <alignment vertical="center" textRotation="0" indent="0" justifyLastLine="0" shrinkToFit="0" readingOrder="0"/>
    </dxf>
    <dxf>
      <numFmt numFmtId="167" formatCode="0.000"/>
      <fill>
        <patternFill patternType="solid">
          <fgColor indexed="64"/>
          <bgColor rgb="FFE2F6EA"/>
        </patternFill>
      </fill>
      <alignment vertical="center" textRotation="0" indent="0" justifyLastLine="0" shrinkToFit="0" readingOrder="0"/>
    </dxf>
    <dxf>
      <numFmt numFmtId="167" formatCode="0.000"/>
      <fill>
        <patternFill patternType="solid">
          <fgColor indexed="64"/>
          <bgColor rgb="FFE2F6EA"/>
        </patternFill>
      </fill>
      <alignment vertical="center" textRotation="0" indent="0" justifyLastLine="0" shrinkToFit="0" readingOrder="0"/>
    </dxf>
    <dxf>
      <numFmt numFmtId="167" formatCode="0.000"/>
      <fill>
        <patternFill patternType="solid">
          <fgColor indexed="64"/>
          <bgColor rgb="FFE2F6EA"/>
        </patternFill>
      </fill>
      <alignment vertical="center" textRotation="0" indent="0" justifyLastLine="0" shrinkToFit="0" readingOrder="0"/>
    </dxf>
    <dxf>
      <numFmt numFmtId="167" formatCode="0.000"/>
      <fill>
        <patternFill patternType="solid">
          <fgColor indexed="64"/>
          <bgColor rgb="FFE2F6EA"/>
        </patternFill>
      </fill>
      <alignment vertical="center" textRotation="0" indent="0" justifyLastLine="0" shrinkToFit="0" readingOrder="0"/>
    </dxf>
    <dxf>
      <numFmt numFmtId="167" formatCode="0.000"/>
      <fill>
        <patternFill patternType="solid">
          <fgColor indexed="64"/>
          <bgColor rgb="FFE2F6EA"/>
        </patternFill>
      </fill>
      <alignment vertical="center" textRotation="0" indent="0" justifyLastLine="0" shrinkToFit="0" readingOrder="0"/>
    </dxf>
    <dxf>
      <numFmt numFmtId="167" formatCode="0.000"/>
      <fill>
        <patternFill patternType="solid">
          <fgColor indexed="64"/>
          <bgColor rgb="FFE2F6EA"/>
        </patternFill>
      </fill>
      <alignment vertical="center" textRotation="0" indent="0" justifyLastLine="0" shrinkToFit="0" readingOrder="0"/>
    </dxf>
    <dxf>
      <fill>
        <patternFill patternType="solid">
          <fgColor indexed="64"/>
          <bgColor rgb="FFE2F6EA"/>
        </patternFill>
      </fill>
      <alignment vertical="center" textRotation="0" indent="0" justifyLastLine="0" shrinkToFit="0" readingOrder="0"/>
    </dxf>
    <dxf>
      <numFmt numFmtId="167" formatCode="0.000"/>
      <fill>
        <patternFill patternType="solid">
          <fgColor indexed="64"/>
          <bgColor rgb="FFE2F6EA"/>
        </patternFill>
      </fill>
      <alignment vertical="center" textRotation="0" indent="0" justifyLastLine="0" shrinkToFit="0" readingOrder="0"/>
    </dxf>
    <dxf>
      <fill>
        <patternFill patternType="solid">
          <fgColor indexed="64"/>
          <bgColor rgb="FFE2F6EA"/>
        </patternFill>
      </fill>
      <alignment vertical="center" textRotation="0" indent="0" justifyLastLine="0" shrinkToFit="0" readingOrder="0"/>
    </dxf>
    <dxf>
      <fill>
        <patternFill patternType="solid">
          <fgColor indexed="64"/>
          <bgColor rgb="FFE2F6EA"/>
        </patternFill>
      </fill>
      <alignment vertical="center" textRotation="0" indent="0" justifyLastLine="0" shrinkToFit="0" readingOrder="0"/>
    </dxf>
    <dxf>
      <fill>
        <patternFill patternType="solid">
          <fgColor indexed="64"/>
          <bgColor rgb="FFE2F6EA"/>
        </patternFill>
      </fill>
      <alignment vertical="center" textRotation="0" indent="0" justifyLastLine="0" shrinkToFit="0" readingOrder="0"/>
    </dxf>
    <dxf>
      <fill>
        <patternFill patternType="solid">
          <fgColor indexed="64"/>
          <bgColor rgb="FFE2F6EA"/>
        </patternFill>
      </fill>
      <alignment vertical="center" textRotation="0" indent="0" justifyLastLine="0" shrinkToFit="0" readingOrder="0"/>
    </dxf>
    <dxf>
      <fill>
        <patternFill patternType="solid">
          <fgColor indexed="64"/>
          <bgColor rgb="FFE2F6EA"/>
        </patternFill>
      </fill>
      <alignment vertical="center" textRotation="0" indent="0" justifyLastLine="0" shrinkToFit="0" readingOrder="0"/>
    </dxf>
    <dxf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2202F"/>
        </patternFill>
      </fill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2202F"/>
        </patternFill>
      </fill>
      <alignment horizontal="center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19" formatCode="m/d/yyyy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2202F"/>
        </patternFill>
      </fill>
      <alignment horizontal="center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ill>
        <patternFill patternType="solid">
          <fgColor indexed="64"/>
          <bgColor rgb="FFE2F6EA"/>
        </patternFill>
      </fill>
      <alignment vertical="center" textRotation="0" indent="0" justifyLastLine="0" shrinkToFit="0" readingOrder="0"/>
    </dxf>
    <dxf>
      <numFmt numFmtId="166" formatCode="0.0"/>
      <alignment vertical="center" textRotation="0" indent="0" justifyLastLine="0" shrinkToFit="0" readingOrder="0"/>
    </dxf>
    <dxf>
      <numFmt numFmtId="164" formatCode="#,##0.0"/>
      <alignment vertical="center" textRotation="0" indent="0" justifyLastLine="0" shrinkToFit="0" readingOrder="0"/>
    </dxf>
    <dxf>
      <numFmt numFmtId="164" formatCode="#,##0.0"/>
      <alignment vertical="center" textRotation="0" indent="0" justifyLastLine="0" shrinkToFit="0" readingOrder="0"/>
    </dxf>
    <dxf>
      <numFmt numFmtId="164" formatCode="#,##0.0"/>
      <alignment vertical="center" textRotation="0" indent="0" justifyLastLine="0" shrinkToFit="0" readingOrder="0"/>
    </dxf>
    <dxf>
      <numFmt numFmtId="164" formatCode="#,##0.0"/>
      <alignment vertical="center" textRotation="0" indent="0" justifyLastLine="0" shrinkToFit="0" readingOrder="0"/>
    </dxf>
    <dxf>
      <numFmt numFmtId="164" formatCode="#,##0.0"/>
      <alignment vertical="center" textRotation="0" indent="0" justifyLastLine="0" shrinkToFit="0" readingOrder="0"/>
    </dxf>
    <dxf>
      <numFmt numFmtId="164" formatCode="#,##0.0"/>
      <alignment vertical="center" textRotation="0" indent="0" justifyLastLine="0" shrinkToFit="0" readingOrder="0"/>
    </dxf>
    <dxf>
      <numFmt numFmtId="164" formatCode="#,##0.0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2202F"/>
        </patternFill>
      </fill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numFmt numFmtId="164" formatCode="#,##0.0"/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2202F"/>
        </patternFill>
      </fill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Exact Recovery by Observation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'Audio Validation'!$A$1</c:f>
              <c:strCache>
                <c:ptCount val="1"/>
                <c:pt idx="0">
                  <c:v>Observation ID</c:v>
                </c:pt>
              </c:strCache>
            </c:strRef>
          </c:tx>
          <c:invertIfNegative val="0"/>
          <c:val>
            <c:numRef>
              <c:f>'Audio Validation'!$A$2:$A$6</c:f>
              <c:numCache>
                <c:formatCode>General</c:formatCode>
                <c:ptCount val="5"/>
                <c:pt idx="0">
                  <c:v>14526577</c:v>
                </c:pt>
                <c:pt idx="1">
                  <c:v>14637273</c:v>
                </c:pt>
                <c:pt idx="2">
                  <c:v>14909294</c:v>
                </c:pt>
                <c:pt idx="3">
                  <c:v>14909617</c:v>
                </c:pt>
                <c:pt idx="4">
                  <c:v>14909703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08-4D0B-AC72-27BF9F87E283}"/>
            </c:ext>
          </c:extLst>
        </c:ser>
        <c:ser>
          <c:idx val="1"/>
          <c:order val="1"/>
          <c:tx>
            <c:strRef>
              <c:f>'Audio Validation'!$K$1</c:f>
              <c:strCache>
                <c:ptCount val="1"/>
                <c:pt idx="0">
                  <c:v>Recovery %</c:v>
                </c:pt>
              </c:strCache>
            </c:strRef>
          </c:tx>
          <c:invertIfNegative val="0"/>
          <c:val>
            <c:numRef>
              <c:f>'Audio Validation'!$K$2:$K$6</c:f>
              <c:numCache>
                <c:formatCode>0.0</c:formatCode>
                <c:ptCount val="5"/>
                <c:pt idx="0">
                  <c:v>2.9</c:v>
                </c:pt>
                <c:pt idx="1">
                  <c:v>33.299999999999997</c:v>
                </c:pt>
                <c:pt idx="2">
                  <c:v>45.2</c:v>
                </c:pt>
                <c:pt idx="3">
                  <c:v>75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08-4D0B-AC72-27BF9F87E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7720656"/>
        <c:axId val="897911504"/>
      </c:barChart>
      <c:catAx>
        <c:axId val="967720656"/>
        <c:scaling>
          <c:orientation val="minMax"/>
        </c:scaling>
        <c:delete val="0"/>
        <c:axPos val="b"/>
        <c:majorTickMark val="out"/>
        <c:minorTickMark val="none"/>
        <c:tickLblPos val="nextTo"/>
        <c:crossAx val="897911504"/>
        <c:crosses val="autoZero"/>
        <c:auto val="1"/>
        <c:lblAlgn val="ctr"/>
        <c:lblOffset val="100"/>
        <c:noMultiLvlLbl val="0"/>
      </c:catAx>
      <c:valAx>
        <c:axId val="897911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772065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Daily SatNOGS-Demodulated Frames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'Historical Daily'!$B$1</c:f>
              <c:strCache>
                <c:ptCount val="1"/>
                <c:pt idx="0">
                  <c:v>Decoded frames</c:v>
                </c:pt>
              </c:strCache>
            </c:strRef>
          </c:tx>
          <c:marker>
            <c:symbol val="none"/>
          </c:marker>
          <c:cat>
            <c:numRef>
              <c:f>'Historical Daily'!$A$2:$A$56</c:f>
              <c:numCache>
                <c:formatCode>m/d/yyyy</c:formatCode>
                <c:ptCount val="55"/>
                <c:pt idx="0">
                  <c:v>46210</c:v>
                </c:pt>
                <c:pt idx="1">
                  <c:v>46211</c:v>
                </c:pt>
                <c:pt idx="2">
                  <c:v>46212</c:v>
                </c:pt>
                <c:pt idx="3">
                  <c:v>46213</c:v>
                </c:pt>
                <c:pt idx="4">
                  <c:v>46214</c:v>
                </c:pt>
                <c:pt idx="5">
                  <c:v>46215</c:v>
                </c:pt>
                <c:pt idx="6">
                  <c:v>46216</c:v>
                </c:pt>
                <c:pt idx="7">
                  <c:v>46217</c:v>
                </c:pt>
                <c:pt idx="8">
                  <c:v>46218</c:v>
                </c:pt>
                <c:pt idx="9">
                  <c:v>46219</c:v>
                </c:pt>
                <c:pt idx="10">
                  <c:v>46220</c:v>
                </c:pt>
                <c:pt idx="11">
                  <c:v>46221</c:v>
                </c:pt>
                <c:pt idx="12">
                  <c:v>46222</c:v>
                </c:pt>
                <c:pt idx="13">
                  <c:v>46223</c:v>
                </c:pt>
                <c:pt idx="14">
                  <c:v>46224</c:v>
                </c:pt>
                <c:pt idx="15">
                  <c:v>46225</c:v>
                </c:pt>
                <c:pt idx="16">
                  <c:v>46226</c:v>
                </c:pt>
                <c:pt idx="17">
                  <c:v>46227</c:v>
                </c:pt>
                <c:pt idx="18">
                  <c:v>46228</c:v>
                </c:pt>
                <c:pt idx="19">
                  <c:v>46229</c:v>
                </c:pt>
                <c:pt idx="20">
                  <c:v>46230</c:v>
                </c:pt>
                <c:pt idx="21">
                  <c:v>46231</c:v>
                </c:pt>
                <c:pt idx="22">
                  <c:v>46232</c:v>
                </c:pt>
                <c:pt idx="23">
                  <c:v>46233</c:v>
                </c:pt>
                <c:pt idx="24">
                  <c:v>46234</c:v>
                </c:pt>
                <c:pt idx="25">
                  <c:v>46235</c:v>
                </c:pt>
                <c:pt idx="26">
                  <c:v>46236</c:v>
                </c:pt>
                <c:pt idx="27">
                  <c:v>46237</c:v>
                </c:pt>
                <c:pt idx="28">
                  <c:v>46238</c:v>
                </c:pt>
                <c:pt idx="29">
                  <c:v>46239</c:v>
                </c:pt>
                <c:pt idx="30">
                  <c:v>46240</c:v>
                </c:pt>
                <c:pt idx="31">
                  <c:v>46241</c:v>
                </c:pt>
                <c:pt idx="32">
                  <c:v>46242</c:v>
                </c:pt>
                <c:pt idx="33">
                  <c:v>46243</c:v>
                </c:pt>
                <c:pt idx="34">
                  <c:v>46244</c:v>
                </c:pt>
                <c:pt idx="35">
                  <c:v>46245</c:v>
                </c:pt>
                <c:pt idx="36">
                  <c:v>46246</c:v>
                </c:pt>
                <c:pt idx="37">
                  <c:v>46247</c:v>
                </c:pt>
                <c:pt idx="38">
                  <c:v>46248</c:v>
                </c:pt>
                <c:pt idx="39">
                  <c:v>46249</c:v>
                </c:pt>
                <c:pt idx="40">
                  <c:v>46250</c:v>
                </c:pt>
                <c:pt idx="41">
                  <c:v>46251</c:v>
                </c:pt>
                <c:pt idx="42">
                  <c:v>46252</c:v>
                </c:pt>
                <c:pt idx="43">
                  <c:v>46253</c:v>
                </c:pt>
                <c:pt idx="44">
                  <c:v>46254</c:v>
                </c:pt>
                <c:pt idx="45">
                  <c:v>46255</c:v>
                </c:pt>
                <c:pt idx="46">
                  <c:v>46256</c:v>
                </c:pt>
                <c:pt idx="47">
                  <c:v>46257</c:v>
                </c:pt>
                <c:pt idx="48">
                  <c:v>46258</c:v>
                </c:pt>
                <c:pt idx="49">
                  <c:v>46259</c:v>
                </c:pt>
                <c:pt idx="50">
                  <c:v>46260</c:v>
                </c:pt>
                <c:pt idx="51">
                  <c:v>46261</c:v>
                </c:pt>
                <c:pt idx="52">
                  <c:v>46262</c:v>
                </c:pt>
                <c:pt idx="53">
                  <c:v>46263</c:v>
                </c:pt>
                <c:pt idx="54">
                  <c:v>46264</c:v>
                </c:pt>
              </c:numCache>
            </c:numRef>
          </c:cat>
          <c:val>
            <c:numRef>
              <c:f>'Historical Daily'!$B$2:$B$56</c:f>
              <c:numCache>
                <c:formatCode>General</c:formatCode>
                <c:ptCount val="55"/>
                <c:pt idx="0">
                  <c:v>1133</c:v>
                </c:pt>
                <c:pt idx="1">
                  <c:v>205</c:v>
                </c:pt>
                <c:pt idx="2">
                  <c:v>518</c:v>
                </c:pt>
                <c:pt idx="3">
                  <c:v>337</c:v>
                </c:pt>
                <c:pt idx="4">
                  <c:v>152</c:v>
                </c:pt>
                <c:pt idx="5">
                  <c:v>126</c:v>
                </c:pt>
                <c:pt idx="6">
                  <c:v>1799</c:v>
                </c:pt>
                <c:pt idx="7">
                  <c:v>395</c:v>
                </c:pt>
                <c:pt idx="8">
                  <c:v>187</c:v>
                </c:pt>
                <c:pt idx="9">
                  <c:v>201</c:v>
                </c:pt>
                <c:pt idx="10">
                  <c:v>1203</c:v>
                </c:pt>
                <c:pt idx="11">
                  <c:v>154</c:v>
                </c:pt>
                <c:pt idx="12">
                  <c:v>315</c:v>
                </c:pt>
                <c:pt idx="13">
                  <c:v>488</c:v>
                </c:pt>
                <c:pt idx="14">
                  <c:v>341</c:v>
                </c:pt>
                <c:pt idx="15">
                  <c:v>267</c:v>
                </c:pt>
                <c:pt idx="16">
                  <c:v>266</c:v>
                </c:pt>
                <c:pt idx="17">
                  <c:v>258</c:v>
                </c:pt>
                <c:pt idx="18">
                  <c:v>288</c:v>
                </c:pt>
                <c:pt idx="19">
                  <c:v>116</c:v>
                </c:pt>
                <c:pt idx="20">
                  <c:v>140</c:v>
                </c:pt>
                <c:pt idx="21">
                  <c:v>115</c:v>
                </c:pt>
                <c:pt idx="22">
                  <c:v>255</c:v>
                </c:pt>
                <c:pt idx="23">
                  <c:v>135</c:v>
                </c:pt>
                <c:pt idx="24">
                  <c:v>145</c:v>
                </c:pt>
                <c:pt idx="25">
                  <c:v>272</c:v>
                </c:pt>
                <c:pt idx="26">
                  <c:v>186</c:v>
                </c:pt>
                <c:pt idx="27">
                  <c:v>63</c:v>
                </c:pt>
                <c:pt idx="28">
                  <c:v>358</c:v>
                </c:pt>
                <c:pt idx="29">
                  <c:v>348</c:v>
                </c:pt>
                <c:pt idx="30">
                  <c:v>107</c:v>
                </c:pt>
                <c:pt idx="31">
                  <c:v>272</c:v>
                </c:pt>
                <c:pt idx="32">
                  <c:v>275</c:v>
                </c:pt>
                <c:pt idx="33">
                  <c:v>168</c:v>
                </c:pt>
                <c:pt idx="34">
                  <c:v>383</c:v>
                </c:pt>
                <c:pt idx="35">
                  <c:v>346</c:v>
                </c:pt>
                <c:pt idx="36">
                  <c:v>288</c:v>
                </c:pt>
                <c:pt idx="37">
                  <c:v>73</c:v>
                </c:pt>
                <c:pt idx="38">
                  <c:v>267</c:v>
                </c:pt>
                <c:pt idx="39">
                  <c:v>155</c:v>
                </c:pt>
                <c:pt idx="40">
                  <c:v>228</c:v>
                </c:pt>
                <c:pt idx="41">
                  <c:v>182</c:v>
                </c:pt>
                <c:pt idx="42">
                  <c:v>62</c:v>
                </c:pt>
                <c:pt idx="43">
                  <c:v>87</c:v>
                </c:pt>
                <c:pt idx="44">
                  <c:v>237</c:v>
                </c:pt>
                <c:pt idx="45">
                  <c:v>362</c:v>
                </c:pt>
                <c:pt idx="46">
                  <c:v>239</c:v>
                </c:pt>
                <c:pt idx="47">
                  <c:v>206</c:v>
                </c:pt>
                <c:pt idx="48">
                  <c:v>456</c:v>
                </c:pt>
                <c:pt idx="49">
                  <c:v>271</c:v>
                </c:pt>
                <c:pt idx="50">
                  <c:v>776</c:v>
                </c:pt>
                <c:pt idx="51">
                  <c:v>444</c:v>
                </c:pt>
                <c:pt idx="52">
                  <c:v>226</c:v>
                </c:pt>
                <c:pt idx="53">
                  <c:v>51</c:v>
                </c:pt>
                <c:pt idx="54">
                  <c:v>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5-42F8-9D2D-A5337154E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7722976"/>
        <c:axId val="897914864"/>
      </c:lineChart>
      <c:dateAx>
        <c:axId val="9677229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897914864"/>
        <c:crosses val="autoZero"/>
        <c:auto val="1"/>
        <c:lblOffset val="100"/>
        <c:baseTimeUnit val="days"/>
      </c:dateAx>
      <c:valAx>
        <c:axId val="897914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772297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812800</xdr:colOff>
      <xdr:row>0</xdr:row>
      <xdr:rowOff>254000</xdr:rowOff>
    </xdr:from>
    <xdr:to>
      <xdr:col>22</xdr:col>
      <xdr:colOff>373380</xdr:colOff>
      <xdr:row>21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49649B-C8CA-46D3-378F-081B71F68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571500</xdr:colOff>
      <xdr:row>0</xdr:row>
      <xdr:rowOff>254000</xdr:rowOff>
    </xdr:from>
    <xdr:to>
      <xdr:col>25</xdr:col>
      <xdr:colOff>317500</xdr:colOff>
      <xdr:row>22</xdr:row>
      <xdr:rowOff>55880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9EB323-6D10-A596-ACA8-C3123D34A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3003EB-0B6C-427C-B6FB-8A0C70C7053D}" name="ReadMeTable" displayName="ReadMeTable" ref="A4:B12" totalsRowShown="0" headerRowDxfId="58" dataDxfId="57">
  <autoFilter ref="A4:B12" xr:uid="{A83003EB-0B6C-427C-B6FB-8A0C70C7053D}"/>
  <tableColumns count="2">
    <tableColumn id="1" xr3:uid="{BA253CFE-817F-4FB0-BCD0-D773EA7E27F8}" name="Item" dataDxfId="60"/>
    <tableColumn id="2" xr3:uid="{0BAEDC84-632B-4600-BD90-7C75A4591284}" name="Meaning" dataDxfId="5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C7824A-9F5E-47DC-A6E8-674F6F005C4A}" name="SummaryTable" displayName="SummaryTable" ref="A4:C16" totalsRowShown="0" headerRowDxfId="53" dataDxfId="52">
  <autoFilter ref="A4:C16" xr:uid="{26C7824A-9F5E-47DC-A6E8-674F6F005C4A}"/>
  <tableColumns count="3">
    <tableColumn id="1" xr3:uid="{530DB2C3-CB7B-4BFF-B346-C3721789CC8D}" name="Metric" dataDxfId="56"/>
    <tableColumn id="2" xr3:uid="{7D3FB071-6C25-462A-B3E3-9CF80E985870}" name="Value" dataDxfId="55"/>
    <tableColumn id="3" xr3:uid="{7D209731-638C-4A11-9E46-B263A24036D1}" name="Interpretation" dataDxfId="5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2DB01D-54FD-4FCF-90F6-095D9A511C21}" name="AudioValidationTable" displayName="AudioValidationTable" ref="A1:M6" totalsRowShown="0" headerRowDxfId="38" dataDxfId="37">
  <autoFilter ref="A1:M6" xr:uid="{012DB01D-54FD-4FCF-90F6-095D9A511C21}"/>
  <tableColumns count="13">
    <tableColumn id="1" xr3:uid="{DA6F250A-AED2-446D-95EB-48863EACCC6A}" name="Observation ID" dataDxfId="51"/>
    <tableColumn id="2" xr3:uid="{62A67E91-923A-42A7-8FA3-42631584D2DC}" name="Start UTC" dataDxfId="50"/>
    <tableColumn id="3" xr3:uid="{0E8582D0-6B35-4104-B2AD-A36ECCEEF5B0}" name="Station" dataDxfId="49"/>
    <tableColumn id="4" xr3:uid="{C2D3D707-44D2-4EA2-AF83-B9FC3398EB06}" name="OGG bytes" dataDxfId="48"/>
    <tableColumn id="5" xr3:uid="{901F7D25-7E00-4429-93F5-15828B06F127}" name="WAV bytes" dataDxfId="47"/>
    <tableColumn id="6" xr3:uid="{1EA3331F-D0CC-47BE-9C47-350865C297C9}" name="Captured KISS" dataDxfId="46"/>
    <tableColumn id="7" xr3:uid="{6875BF83-C820-424C-9F5D-EB421C9700F2}" name="Valid KOYO" dataDxfId="45"/>
    <tableColumn id="8" xr3:uid="{11392F9D-F9B4-478D-BFC8-AA364671DF87}" name="Control frames" dataDxfId="44"/>
    <tableColumn id="9" xr3:uid="{6DB5215B-C892-4E1D-9DC5-BE20413E40D5}" name="Exact matches" dataDxfId="43"/>
    <tableColumn id="10" xr3:uid="{609D01D8-751F-4E9F-8EEA-3A12E62BE318}" name="Unrecovered" dataDxfId="42"/>
    <tableColumn id="11" xr3:uid="{6034D45D-67A2-419D-803D-922046649596}" name="Recovery %" dataDxfId="41"/>
    <tableColumn id="12" xr3:uid="{7F439551-EBA2-4B34-B009-BFFE5F997B16}" name="Result" dataDxfId="40"/>
    <tableColumn id="13" xr3:uid="{5047D618-1A2D-4E37-B127-FB2654719F08}" name="Error" dataDxfId="3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30ADDE-308A-46C2-B0BF-12A22FF317CB}" name="HistoricalDailyTable" displayName="HistoricalDailyTable" ref="A1:F56" totalsRowShown="0" headerRowDxfId="30" dataDxfId="29">
  <autoFilter ref="A1:F56" xr:uid="{D130ADDE-308A-46C2-B0BF-12A22FF317CB}"/>
  <tableColumns count="6">
    <tableColumn id="1" xr3:uid="{BCE50C17-6C2F-467E-A921-6F99975AE7DC}" name="UTC Date" dataDxfId="36"/>
    <tableColumn id="2" xr3:uid="{1BA74BC1-8295-4361-9216-2EE3AEEBC49D}" name="Decoded frames" dataDxfId="35"/>
    <tableColumn id="3" xr3:uid="{26504BE7-0F7A-453D-99AE-1A00FB6A9BC9}" name="Observations" dataDxfId="34"/>
    <tableColumn id="4" xr3:uid="{C00C18D6-65F5-4EEA-B0D6-630D41EA6DA8}" name="Receiving stations" dataDxfId="33"/>
    <tableColumn id="5" xr3:uid="{99B952A1-80F3-48D7-91B8-F4EEF0E11821}" name="First frame UTC" dataDxfId="32"/>
    <tableColumn id="6" xr3:uid="{592637B3-ED57-4CB4-AE70-933A63A2E7D3}" name="Last frame UTC" dataDxfId="3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A4E3CE-2452-440E-800D-4F8FA653A59A}" name="LatestDemoTable" displayName="LatestDemoTable" ref="A4:C14" totalsRowShown="0" headerRowDxfId="25" dataDxfId="24">
  <autoFilter ref="A4:C14" xr:uid="{EAA4E3CE-2452-440E-800D-4F8FA653A59A}"/>
  <tableColumns count="3">
    <tableColumn id="1" xr3:uid="{4BDC1CC1-21B7-425D-86CE-0416866B64F0}" name="Metric" dataDxfId="28"/>
    <tableColumn id="2" xr3:uid="{622646AC-CB24-4C4B-A27C-9944FFE7AFAC}" name="Value" dataDxfId="27"/>
    <tableColumn id="3" xr3:uid="{15AD01F2-A2EB-412E-B29C-719739567312}" name="Meaning" dataDxfId="2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6CC77D-5F7F-4DA5-BECB-A9459914B87A}" name="LatestTelemetryTable" displayName="LatestTelemetryTable" ref="A1:P3" totalsRowShown="0" headerRowDxfId="7" dataDxfId="6">
  <autoFilter ref="A1:P3" xr:uid="{0B6CC77D-5F7F-4DA5-BECB-A9459914B87A}"/>
  <tableColumns count="16">
    <tableColumn id="1" xr3:uid="{169302F6-EB82-4FD4-8442-939CDAF490DB}" name="Frame" dataDxfId="23"/>
    <tableColumn id="2" xr3:uid="{A5E1B55C-EBED-40B8-A074-6BA4EB5F54CA}" name="RTC UTC" dataDxfId="22"/>
    <tableColumn id="3" xr3:uid="{0CDC0157-9371-424C-903D-B79427EBF3EC}" name="Source" dataDxfId="21"/>
    <tableColumn id="4" xr3:uid="{8E520881-BA29-4851-98EC-B1A44F469492}" name="Destination" dataDxfId="20"/>
    <tableColumn id="5" xr3:uid="{BA68B11D-5A99-488B-B008-4C38E71A5B85}" name="Packet counter" dataDxfId="19"/>
    <tableColumn id="6" xr3:uid="{319FEFB3-4180-4CEF-BA24-91B19F509322}" name="Uptime hours" dataDxfId="18"/>
    <tableColumn id="7" xr3:uid="{14837979-E932-4673-A48B-C30B1B5E2654}" name="Boot counter" dataDxfId="17"/>
    <tableColumn id="8" xr3:uid="{4556C760-4E5F-4914-8845-BCFFDA618BCE}" name="Battery TH0 C" dataDxfId="16"/>
    <tableColumn id="9" xr3:uid="{DC60F118-9A6E-419E-8C25-A8B75ABFDE96}" name="Battery TH1 C" dataDxfId="15"/>
    <tableColumn id="10" xr3:uid="{3EE57F80-E5AE-4157-A79C-F11F95351981}" name="CDH C" dataDxfId="14"/>
    <tableColumn id="11" xr3:uid="{FFD973F6-5C75-45C8-95D1-CD9A72DEF9EC}" name="ADCS C" dataDxfId="13"/>
    <tableColumn id="12" xr3:uid="{A398CEA5-8DF4-46E4-9C88-37D3E4E03930}" name="PIB health" dataDxfId="12"/>
    <tableColumn id="13" xr3:uid="{FE481EEB-D38D-4120-A3AB-7B61350154A1}" name="SD failures" dataDxfId="11"/>
    <tableColumn id="14" xr3:uid="{50E06DCF-9AF5-433D-8A62-8AEA6BF8F582}" name="PV candidate 1 V" dataDxfId="10"/>
    <tableColumn id="15" xr3:uid="{6AD42786-B17A-4E0B-9E30-29DB1DECA743}" name="PV candidate 2 V" dataDxfId="9"/>
    <tableColumn id="16" xr3:uid="{59C4DE15-9548-486E-8007-B89CBA30AAD9}" name="COMM raw candidate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39645E-3A20-449B-A54C-D0EE6390B826}" name="DashboardCoverageTable" displayName="DashboardCoverageTable" ref="A4:D14" totalsRowShown="0" headerRowDxfId="1" dataDxfId="0">
  <autoFilter ref="A4:D14" xr:uid="{E339645E-3A20-449B-A54C-D0EE6390B826}"/>
  <tableColumns count="4">
    <tableColumn id="1" xr3:uid="{E2DB0242-16AA-4C06-ABA0-DE782383BC64}" name="Group" dataDxfId="5"/>
    <tableColumn id="2" xr3:uid="{BF2AE12F-0E7B-4AE2-9764-33E71B899B30}" name="Available evidence" dataDxfId="4"/>
    <tableColumn id="3" xr3:uid="{2360CFB7-A940-4EF8-8FAC-B0200C266F02}" name="Confidence" dataDxfId="3"/>
    <tableColumn id="4" xr3:uid="{22343C51-EDB1-458F-A9A9-45404C69C965}" name="Bounda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FE68-13F1-420D-9258-79F4F247DBCC}">
  <sheetPr>
    <pageSetUpPr fitToPage="1"/>
  </sheetPr>
  <dimension ref="A1:H20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4.77734375" style="4" customWidth="1"/>
    <col min="2" max="2" width="85.77734375" style="4" customWidth="1"/>
    <col min="3" max="16384" width="8.88671875" style="4"/>
  </cols>
  <sheetData>
    <row r="1" spans="1:8" ht="24" customHeight="1" x14ac:dyDescent="0.3">
      <c r="A1" s="2" t="s">
        <v>0</v>
      </c>
      <c r="B1" s="3"/>
      <c r="C1" s="3"/>
      <c r="D1" s="3"/>
      <c r="E1" s="3"/>
      <c r="F1" s="3"/>
      <c r="G1" s="3"/>
      <c r="H1" s="3"/>
    </row>
    <row r="2" spans="1:8" ht="24" customHeight="1" x14ac:dyDescent="0.3">
      <c r="A2" s="5" t="s">
        <v>1</v>
      </c>
      <c r="B2" s="6"/>
      <c r="C2" s="6"/>
      <c r="D2" s="6"/>
      <c r="E2" s="6"/>
      <c r="F2" s="6"/>
      <c r="G2" s="6"/>
      <c r="H2" s="6"/>
    </row>
    <row r="4" spans="1:8" x14ac:dyDescent="0.3">
      <c r="A4" s="1" t="s">
        <v>2</v>
      </c>
      <c r="B4" s="1" t="s">
        <v>3</v>
      </c>
    </row>
    <row r="5" spans="1:8" x14ac:dyDescent="0.3">
      <c r="A5" s="7" t="s">
        <v>4</v>
      </c>
      <c r="B5" s="7" t="s">
        <v>5</v>
      </c>
    </row>
    <row r="6" spans="1:8" x14ac:dyDescent="0.3">
      <c r="A6" s="7" t="s">
        <v>6</v>
      </c>
      <c r="B6" s="7" t="s">
        <v>7</v>
      </c>
    </row>
    <row r="7" spans="1:8" x14ac:dyDescent="0.3">
      <c r="A7" s="7" t="s">
        <v>8</v>
      </c>
      <c r="B7" s="7" t="s">
        <v>9</v>
      </c>
    </row>
    <row r="8" spans="1:8" x14ac:dyDescent="0.3">
      <c r="A8" s="7" t="s">
        <v>10</v>
      </c>
      <c r="B8" s="7" t="s">
        <v>11</v>
      </c>
    </row>
    <row r="9" spans="1:8" x14ac:dyDescent="0.3">
      <c r="A9" s="7" t="s">
        <v>12</v>
      </c>
      <c r="B9" s="7" t="s">
        <v>13</v>
      </c>
    </row>
    <row r="10" spans="1:8" x14ac:dyDescent="0.3">
      <c r="A10" s="7" t="s">
        <v>14</v>
      </c>
      <c r="B10" s="7" t="s">
        <v>15</v>
      </c>
    </row>
    <row r="11" spans="1:8" x14ac:dyDescent="0.3">
      <c r="A11" s="7" t="s">
        <v>16</v>
      </c>
      <c r="B11" s="7" t="s">
        <v>17</v>
      </c>
    </row>
    <row r="12" spans="1:8" x14ac:dyDescent="0.3">
      <c r="A12" s="7" t="s">
        <v>18</v>
      </c>
      <c r="B12" s="7" t="s">
        <v>19</v>
      </c>
    </row>
    <row r="13" spans="1:8" x14ac:dyDescent="0.3">
      <c r="A13" s="7"/>
      <c r="B13" s="7"/>
    </row>
    <row r="14" spans="1:8" x14ac:dyDescent="0.3">
      <c r="A14" s="7"/>
      <c r="B14" s="7"/>
    </row>
    <row r="15" spans="1:8" x14ac:dyDescent="0.3">
      <c r="A15" s="7"/>
      <c r="B15" s="7"/>
    </row>
    <row r="16" spans="1:8" x14ac:dyDescent="0.3">
      <c r="A16" s="7"/>
      <c r="B16" s="7"/>
    </row>
    <row r="17" spans="1:2" x14ac:dyDescent="0.3">
      <c r="A17" s="7"/>
      <c r="B17" s="7"/>
    </row>
    <row r="18" spans="1:2" x14ac:dyDescent="0.3">
      <c r="A18" s="7"/>
      <c r="B18" s="7"/>
    </row>
    <row r="19" spans="1:2" x14ac:dyDescent="0.3">
      <c r="A19" s="7"/>
      <c r="B19" s="7"/>
    </row>
    <row r="20" spans="1:2" x14ac:dyDescent="0.3">
      <c r="A20" s="7"/>
      <c r="B20" s="7"/>
    </row>
  </sheetData>
  <mergeCells count="2">
    <mergeCell ref="A1:H1"/>
    <mergeCell ref="A2:H2"/>
  </mergeCells>
  <pageMargins left="0.7" right="0.7" top="0.75" bottom="0.75" header="0.3" footer="0.3"/>
  <pageSetup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C2AC-826D-40DC-B5EA-0ABA9D854F0C}">
  <sheetPr>
    <pageSetUpPr fitToPage="1"/>
  </sheetPr>
  <dimension ref="A1:H16"/>
  <sheetViews>
    <sheetView workbookViewId="0"/>
  </sheetViews>
  <sheetFormatPr defaultRowHeight="14.4" x14ac:dyDescent="0.3"/>
  <cols>
    <col min="1" max="1" width="29.77734375" style="4" customWidth="1"/>
    <col min="2" max="2" width="18.77734375" style="4" customWidth="1"/>
    <col min="3" max="3" width="62.77734375" style="4" customWidth="1"/>
    <col min="4" max="16384" width="8.88671875" style="4"/>
  </cols>
  <sheetData>
    <row r="1" spans="1:8" ht="24" customHeight="1" x14ac:dyDescent="0.3">
      <c r="A1" s="2" t="s">
        <v>20</v>
      </c>
      <c r="B1" s="3"/>
      <c r="C1" s="3"/>
      <c r="D1" s="3"/>
      <c r="E1" s="3"/>
      <c r="F1" s="3"/>
      <c r="G1" s="3"/>
      <c r="H1" s="3"/>
    </row>
    <row r="2" spans="1:8" ht="24" customHeight="1" x14ac:dyDescent="0.3">
      <c r="A2" s="5" t="s">
        <v>21</v>
      </c>
      <c r="B2" s="6"/>
      <c r="C2" s="6"/>
      <c r="D2" s="6"/>
      <c r="E2" s="6"/>
      <c r="F2" s="6"/>
      <c r="G2" s="6"/>
      <c r="H2" s="6"/>
    </row>
    <row r="4" spans="1:8" x14ac:dyDescent="0.3">
      <c r="A4" s="1" t="s">
        <v>22</v>
      </c>
      <c r="B4" s="1" t="s">
        <v>23</v>
      </c>
      <c r="C4" s="1" t="s">
        <v>24</v>
      </c>
    </row>
    <row r="5" spans="1:8" x14ac:dyDescent="0.3">
      <c r="A5" s="7" t="s">
        <v>25</v>
      </c>
      <c r="B5" s="8">
        <f>COUNTA('Audio Validation'!A2:A6)</f>
        <v>5</v>
      </c>
      <c r="C5" s="7" t="s">
        <v>26</v>
      </c>
    </row>
    <row r="6" spans="1:8" x14ac:dyDescent="0.3">
      <c r="A6" s="7" t="s">
        <v>27</v>
      </c>
      <c r="B6" s="8">
        <f>COUNTIF('Audio Validation'!L2:L6,"PASS")</f>
        <v>5</v>
      </c>
      <c r="C6" s="7" t="s">
        <v>28</v>
      </c>
    </row>
    <row r="7" spans="1:8" x14ac:dyDescent="0.3">
      <c r="A7" s="7" t="s">
        <v>29</v>
      </c>
      <c r="B7" s="8">
        <f>SUM('Audio Validation'!G2:G6)</f>
        <v>22</v>
      </c>
      <c r="C7" s="7" t="s">
        <v>30</v>
      </c>
    </row>
    <row r="8" spans="1:8" x14ac:dyDescent="0.3">
      <c r="A8" s="7" t="s">
        <v>31</v>
      </c>
      <c r="B8" s="8">
        <f>SUM('Audio Validation'!H2:H6)</f>
        <v>74</v>
      </c>
      <c r="C8" s="7" t="s">
        <v>32</v>
      </c>
    </row>
    <row r="9" spans="1:8" x14ac:dyDescent="0.3">
      <c r="A9" s="7" t="s">
        <v>33</v>
      </c>
      <c r="B9" s="8">
        <f>SUM('Audio Validation'!I2:I6)</f>
        <v>20</v>
      </c>
      <c r="C9" s="7" t="s">
        <v>34</v>
      </c>
    </row>
    <row r="10" spans="1:8" x14ac:dyDescent="0.3">
      <c r="A10" s="7" t="s">
        <v>35</v>
      </c>
      <c r="B10" s="9">
        <f>SUM('Audio Validation'!I2:I6)/SUM('Audio Validation'!H2:H6)</f>
        <v>0.27027027027027029</v>
      </c>
      <c r="C10" s="7" t="s">
        <v>36</v>
      </c>
    </row>
    <row r="11" spans="1:8" x14ac:dyDescent="0.3">
      <c r="A11" s="7" t="s">
        <v>37</v>
      </c>
      <c r="B11" s="8">
        <v>55</v>
      </c>
      <c r="C11" s="7" t="s">
        <v>38</v>
      </c>
    </row>
    <row r="12" spans="1:8" x14ac:dyDescent="0.3">
      <c r="A12" s="7" t="s">
        <v>39</v>
      </c>
      <c r="B12" s="8">
        <v>17155</v>
      </c>
      <c r="C12" s="7" t="s">
        <v>40</v>
      </c>
    </row>
    <row r="13" spans="1:8" x14ac:dyDescent="0.3">
      <c r="A13" s="7" t="s">
        <v>41</v>
      </c>
      <c r="B13" s="8">
        <v>1055</v>
      </c>
      <c r="C13" s="7" t="s">
        <v>42</v>
      </c>
    </row>
    <row r="14" spans="1:8" x14ac:dyDescent="0.3">
      <c r="A14" s="7" t="s">
        <v>43</v>
      </c>
      <c r="B14" s="8">
        <v>114</v>
      </c>
      <c r="C14" s="7" t="s">
        <v>44</v>
      </c>
    </row>
    <row r="15" spans="1:8" x14ac:dyDescent="0.3">
      <c r="A15" s="7" t="s">
        <v>45</v>
      </c>
      <c r="B15" s="8">
        <v>43</v>
      </c>
      <c r="C15" s="7" t="s">
        <v>46</v>
      </c>
    </row>
    <row r="16" spans="1:8" x14ac:dyDescent="0.3">
      <c r="A16" s="7" t="s">
        <v>47</v>
      </c>
      <c r="B16" s="8">
        <v>22</v>
      </c>
      <c r="C16" s="7" t="s">
        <v>48</v>
      </c>
    </row>
  </sheetData>
  <mergeCells count="2">
    <mergeCell ref="A1:H1"/>
    <mergeCell ref="A2:H2"/>
  </mergeCells>
  <pageMargins left="0.7" right="0.7" top="0.75" bottom="0.75" header="0.3" footer="0.3"/>
  <pageSetup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F13F-4D40-4E05-9889-288A7ADEBEA3}">
  <sheetPr>
    <pageSetUpPr fitToPage="1"/>
  </sheetPr>
  <dimension ref="A1:M6"/>
  <sheetViews>
    <sheetView workbookViewId="0"/>
  </sheetViews>
  <sheetFormatPr defaultRowHeight="14.4" x14ac:dyDescent="0.3"/>
  <cols>
    <col min="1" max="1" width="17.77734375" style="4" bestFit="1" customWidth="1"/>
    <col min="2" max="2" width="19.44140625" style="4" bestFit="1" customWidth="1"/>
    <col min="3" max="3" width="11.6640625" style="4" bestFit="1" customWidth="1"/>
    <col min="4" max="4" width="14.33203125" style="4" bestFit="1" customWidth="1"/>
    <col min="5" max="5" width="14.21875" style="4" bestFit="1" customWidth="1"/>
    <col min="6" max="6" width="17.5546875" style="4" bestFit="1" customWidth="1"/>
    <col min="7" max="7" width="14.88671875" style="4" bestFit="1" customWidth="1"/>
    <col min="8" max="8" width="17.77734375" style="4" bestFit="1" customWidth="1"/>
    <col min="9" max="9" width="17.6640625" style="4" bestFit="1" customWidth="1"/>
    <col min="10" max="10" width="16" style="4" bestFit="1" customWidth="1"/>
    <col min="11" max="11" width="14.88671875" style="4" bestFit="1" customWidth="1"/>
    <col min="12" max="12" width="10.6640625" style="4" bestFit="1" customWidth="1"/>
    <col min="13" max="13" width="9.44140625" style="4" bestFit="1" customWidth="1"/>
    <col min="14" max="16384" width="8.88671875" style="4"/>
  </cols>
  <sheetData>
    <row r="1" spans="1:13" x14ac:dyDescent="0.3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</row>
    <row r="2" spans="1:13" x14ac:dyDescent="0.3">
      <c r="A2" s="4">
        <v>14526577</v>
      </c>
      <c r="B2" s="4" t="s">
        <v>62</v>
      </c>
      <c r="C2" s="4" t="s">
        <v>63</v>
      </c>
      <c r="D2" s="10">
        <v>14084735</v>
      </c>
      <c r="E2" s="10">
        <v>71653582</v>
      </c>
      <c r="F2" s="10">
        <v>6</v>
      </c>
      <c r="G2" s="10">
        <v>1</v>
      </c>
      <c r="H2" s="10">
        <v>35</v>
      </c>
      <c r="I2" s="10">
        <v>1</v>
      </c>
      <c r="J2" s="10">
        <v>34</v>
      </c>
      <c r="K2" s="11">
        <v>2.9</v>
      </c>
      <c r="L2" s="12" t="s">
        <v>64</v>
      </c>
    </row>
    <row r="3" spans="1:13" x14ac:dyDescent="0.3">
      <c r="A3" s="4">
        <v>14637273</v>
      </c>
      <c r="B3" s="4" t="s">
        <v>65</v>
      </c>
      <c r="C3" s="4" t="s">
        <v>66</v>
      </c>
      <c r="D3" s="10">
        <v>14076701</v>
      </c>
      <c r="E3" s="10">
        <v>71613646</v>
      </c>
      <c r="F3" s="10">
        <v>8</v>
      </c>
      <c r="G3" s="10">
        <v>1</v>
      </c>
      <c r="H3" s="10">
        <v>3</v>
      </c>
      <c r="I3" s="10">
        <v>1</v>
      </c>
      <c r="J3" s="10">
        <v>2</v>
      </c>
      <c r="K3" s="11">
        <v>33.299999999999997</v>
      </c>
      <c r="L3" s="12" t="s">
        <v>64</v>
      </c>
    </row>
    <row r="4" spans="1:13" x14ac:dyDescent="0.3">
      <c r="A4" s="4">
        <v>14909294</v>
      </c>
      <c r="B4" s="4" t="s">
        <v>67</v>
      </c>
      <c r="C4" s="4" t="s">
        <v>63</v>
      </c>
      <c r="D4" s="10">
        <v>14004224</v>
      </c>
      <c r="E4" s="10">
        <v>71165134</v>
      </c>
      <c r="F4" s="10">
        <v>32</v>
      </c>
      <c r="G4" s="10">
        <v>14</v>
      </c>
      <c r="H4" s="10">
        <v>31</v>
      </c>
      <c r="I4" s="10">
        <v>14</v>
      </c>
      <c r="J4" s="10">
        <v>17</v>
      </c>
      <c r="K4" s="11">
        <v>45.2</v>
      </c>
      <c r="L4" s="12" t="s">
        <v>64</v>
      </c>
    </row>
    <row r="5" spans="1:13" x14ac:dyDescent="0.3">
      <c r="A5" s="4">
        <v>14909617</v>
      </c>
      <c r="B5" s="4" t="s">
        <v>68</v>
      </c>
      <c r="C5" s="4" t="s">
        <v>69</v>
      </c>
      <c r="D5" s="10">
        <v>7733168</v>
      </c>
      <c r="E5" s="10">
        <v>42546382</v>
      </c>
      <c r="F5" s="10">
        <v>8</v>
      </c>
      <c r="G5" s="10">
        <v>4</v>
      </c>
      <c r="H5" s="10">
        <v>4</v>
      </c>
      <c r="I5" s="10">
        <v>3</v>
      </c>
      <c r="J5" s="10">
        <v>1</v>
      </c>
      <c r="K5" s="11">
        <v>75</v>
      </c>
      <c r="L5" s="12" t="s">
        <v>64</v>
      </c>
    </row>
    <row r="6" spans="1:13" x14ac:dyDescent="0.3">
      <c r="A6" s="4">
        <v>14909703</v>
      </c>
      <c r="B6" s="4" t="s">
        <v>70</v>
      </c>
      <c r="C6" s="4" t="s">
        <v>71</v>
      </c>
      <c r="D6" s="10">
        <v>10431019</v>
      </c>
      <c r="E6" s="10">
        <v>52762830</v>
      </c>
      <c r="F6" s="10">
        <v>6</v>
      </c>
      <c r="G6" s="10">
        <v>2</v>
      </c>
      <c r="H6" s="10">
        <v>1</v>
      </c>
      <c r="I6" s="10">
        <v>1</v>
      </c>
      <c r="J6" s="10">
        <v>0</v>
      </c>
      <c r="K6" s="11">
        <v>100</v>
      </c>
      <c r="L6" s="12" t="s">
        <v>64</v>
      </c>
    </row>
  </sheetData>
  <pageMargins left="0.7" right="0.7" top="0.75" bottom="0.75" header="0.3" footer="0.3"/>
  <pageSetup fitToHeight="0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9A162-E6BB-4542-A0A8-12351E388D2B}">
  <sheetPr>
    <pageSetUpPr fitToPage="1"/>
  </sheetPr>
  <dimension ref="A1:F56"/>
  <sheetViews>
    <sheetView workbookViewId="0"/>
  </sheetViews>
  <sheetFormatPr defaultRowHeight="14.4" x14ac:dyDescent="0.3"/>
  <cols>
    <col min="1" max="1" width="13" style="4" bestFit="1" customWidth="1"/>
    <col min="2" max="2" width="19.109375" style="4" bestFit="1" customWidth="1"/>
    <col min="3" max="3" width="16.44140625" style="4" bestFit="1" customWidth="1"/>
    <col min="4" max="4" width="20.5546875" style="4" bestFit="1" customWidth="1"/>
    <col min="5" max="6" width="24.21875" style="4" bestFit="1" customWidth="1"/>
    <col min="7" max="16384" width="8.88671875" style="4"/>
  </cols>
  <sheetData>
    <row r="1" spans="1:6" x14ac:dyDescent="0.3">
      <c r="A1" s="1" t="s">
        <v>72</v>
      </c>
      <c r="B1" s="1" t="s">
        <v>73</v>
      </c>
      <c r="C1" s="1" t="s">
        <v>74</v>
      </c>
      <c r="D1" s="1" t="s">
        <v>43</v>
      </c>
      <c r="E1" s="1" t="s">
        <v>75</v>
      </c>
      <c r="F1" s="1" t="s">
        <v>76</v>
      </c>
    </row>
    <row r="2" spans="1:6" x14ac:dyDescent="0.3">
      <c r="A2" s="13">
        <v>46210</v>
      </c>
      <c r="B2" s="4">
        <v>1133</v>
      </c>
      <c r="C2" s="4">
        <v>17</v>
      </c>
      <c r="D2" s="4">
        <v>11</v>
      </c>
      <c r="E2" s="4" t="s">
        <v>77</v>
      </c>
      <c r="F2" s="4" t="s">
        <v>78</v>
      </c>
    </row>
    <row r="3" spans="1:6" x14ac:dyDescent="0.3">
      <c r="A3" s="13">
        <v>46211</v>
      </c>
      <c r="B3" s="4">
        <v>205</v>
      </c>
      <c r="C3" s="4">
        <v>21</v>
      </c>
      <c r="D3" s="4">
        <v>16</v>
      </c>
      <c r="E3" s="4" t="s">
        <v>79</v>
      </c>
      <c r="F3" s="4" t="s">
        <v>80</v>
      </c>
    </row>
    <row r="4" spans="1:6" x14ac:dyDescent="0.3">
      <c r="A4" s="13">
        <v>46212</v>
      </c>
      <c r="B4" s="4">
        <v>518</v>
      </c>
      <c r="C4" s="4">
        <v>34</v>
      </c>
      <c r="D4" s="4">
        <v>30</v>
      </c>
      <c r="E4" s="4" t="s">
        <v>81</v>
      </c>
      <c r="F4" s="4" t="s">
        <v>82</v>
      </c>
    </row>
    <row r="5" spans="1:6" x14ac:dyDescent="0.3">
      <c r="A5" s="13">
        <v>46213</v>
      </c>
      <c r="B5" s="4">
        <v>337</v>
      </c>
      <c r="C5" s="4">
        <v>18</v>
      </c>
      <c r="D5" s="4">
        <v>12</v>
      </c>
      <c r="E5" s="4" t="s">
        <v>83</v>
      </c>
      <c r="F5" s="4" t="s">
        <v>84</v>
      </c>
    </row>
    <row r="6" spans="1:6" x14ac:dyDescent="0.3">
      <c r="A6" s="13">
        <v>46214</v>
      </c>
      <c r="B6" s="4">
        <v>152</v>
      </c>
      <c r="C6" s="4">
        <v>10</v>
      </c>
      <c r="D6" s="4">
        <v>8</v>
      </c>
      <c r="E6" s="4" t="s">
        <v>85</v>
      </c>
      <c r="F6" s="4" t="s">
        <v>86</v>
      </c>
    </row>
    <row r="7" spans="1:6" x14ac:dyDescent="0.3">
      <c r="A7" s="13">
        <v>46215</v>
      </c>
      <c r="B7" s="4">
        <v>126</v>
      </c>
      <c r="C7" s="4">
        <v>14</v>
      </c>
      <c r="D7" s="4">
        <v>12</v>
      </c>
      <c r="E7" s="4" t="s">
        <v>87</v>
      </c>
      <c r="F7" s="4" t="s">
        <v>88</v>
      </c>
    </row>
    <row r="8" spans="1:6" x14ac:dyDescent="0.3">
      <c r="A8" s="13">
        <v>46216</v>
      </c>
      <c r="B8" s="4">
        <v>1799</v>
      </c>
      <c r="C8" s="4">
        <v>23</v>
      </c>
      <c r="D8" s="4">
        <v>16</v>
      </c>
      <c r="E8" s="4" t="s">
        <v>89</v>
      </c>
      <c r="F8" s="4" t="s">
        <v>90</v>
      </c>
    </row>
    <row r="9" spans="1:6" x14ac:dyDescent="0.3">
      <c r="A9" s="13">
        <v>46217</v>
      </c>
      <c r="B9" s="4">
        <v>395</v>
      </c>
      <c r="C9" s="4">
        <v>23</v>
      </c>
      <c r="D9" s="4">
        <v>17</v>
      </c>
      <c r="E9" s="4" t="s">
        <v>91</v>
      </c>
      <c r="F9" s="4" t="s">
        <v>92</v>
      </c>
    </row>
    <row r="10" spans="1:6" x14ac:dyDescent="0.3">
      <c r="A10" s="13">
        <v>46218</v>
      </c>
      <c r="B10" s="4">
        <v>187</v>
      </c>
      <c r="C10" s="4">
        <v>14</v>
      </c>
      <c r="D10" s="4">
        <v>11</v>
      </c>
      <c r="E10" s="4" t="s">
        <v>93</v>
      </c>
      <c r="F10" s="4" t="s">
        <v>94</v>
      </c>
    </row>
    <row r="11" spans="1:6" x14ac:dyDescent="0.3">
      <c r="A11" s="13">
        <v>46219</v>
      </c>
      <c r="B11" s="4">
        <v>201</v>
      </c>
      <c r="C11" s="4">
        <v>16</v>
      </c>
      <c r="D11" s="4">
        <v>11</v>
      </c>
      <c r="E11" s="4" t="s">
        <v>95</v>
      </c>
      <c r="F11" s="4" t="s">
        <v>96</v>
      </c>
    </row>
    <row r="12" spans="1:6" x14ac:dyDescent="0.3">
      <c r="A12" s="13">
        <v>46220</v>
      </c>
      <c r="B12" s="4">
        <v>1203</v>
      </c>
      <c r="C12" s="4">
        <v>20</v>
      </c>
      <c r="D12" s="4">
        <v>8</v>
      </c>
      <c r="E12" s="4" t="s">
        <v>97</v>
      </c>
      <c r="F12" s="4" t="s">
        <v>98</v>
      </c>
    </row>
    <row r="13" spans="1:6" x14ac:dyDescent="0.3">
      <c r="A13" s="13">
        <v>46221</v>
      </c>
      <c r="B13" s="4">
        <v>154</v>
      </c>
      <c r="C13" s="4">
        <v>14</v>
      </c>
      <c r="D13" s="4">
        <v>9</v>
      </c>
      <c r="E13" s="4" t="s">
        <v>99</v>
      </c>
      <c r="F13" s="4" t="s">
        <v>100</v>
      </c>
    </row>
    <row r="14" spans="1:6" x14ac:dyDescent="0.3">
      <c r="A14" s="13">
        <v>46222</v>
      </c>
      <c r="B14" s="4">
        <v>315</v>
      </c>
      <c r="C14" s="4">
        <v>17</v>
      </c>
      <c r="D14" s="4">
        <v>12</v>
      </c>
      <c r="E14" s="4" t="s">
        <v>101</v>
      </c>
      <c r="F14" s="4" t="s">
        <v>102</v>
      </c>
    </row>
    <row r="15" spans="1:6" x14ac:dyDescent="0.3">
      <c r="A15" s="13">
        <v>46223</v>
      </c>
      <c r="B15" s="4">
        <v>488</v>
      </c>
      <c r="C15" s="4">
        <v>26</v>
      </c>
      <c r="D15" s="4">
        <v>21</v>
      </c>
      <c r="E15" s="4" t="s">
        <v>103</v>
      </c>
      <c r="F15" s="4" t="s">
        <v>104</v>
      </c>
    </row>
    <row r="16" spans="1:6" x14ac:dyDescent="0.3">
      <c r="A16" s="13">
        <v>46224</v>
      </c>
      <c r="B16" s="4">
        <v>341</v>
      </c>
      <c r="C16" s="4">
        <v>15</v>
      </c>
      <c r="D16" s="4">
        <v>7</v>
      </c>
      <c r="E16" s="4" t="s">
        <v>105</v>
      </c>
      <c r="F16" s="4" t="s">
        <v>106</v>
      </c>
    </row>
    <row r="17" spans="1:6" x14ac:dyDescent="0.3">
      <c r="A17" s="13">
        <v>46225</v>
      </c>
      <c r="B17" s="4">
        <v>267</v>
      </c>
      <c r="C17" s="4">
        <v>12</v>
      </c>
      <c r="D17" s="4">
        <v>7</v>
      </c>
      <c r="E17" s="4" t="s">
        <v>107</v>
      </c>
      <c r="F17" s="4" t="s">
        <v>108</v>
      </c>
    </row>
    <row r="18" spans="1:6" x14ac:dyDescent="0.3">
      <c r="A18" s="13">
        <v>46226</v>
      </c>
      <c r="B18" s="4">
        <v>266</v>
      </c>
      <c r="C18" s="4">
        <v>21</v>
      </c>
      <c r="D18" s="4">
        <v>16</v>
      </c>
      <c r="E18" s="4" t="s">
        <v>109</v>
      </c>
      <c r="F18" s="4" t="s">
        <v>110</v>
      </c>
    </row>
    <row r="19" spans="1:6" x14ac:dyDescent="0.3">
      <c r="A19" s="13">
        <v>46227</v>
      </c>
      <c r="B19" s="4">
        <v>258</v>
      </c>
      <c r="C19" s="4">
        <v>21</v>
      </c>
      <c r="D19" s="4">
        <v>15</v>
      </c>
      <c r="E19" s="4" t="s">
        <v>111</v>
      </c>
      <c r="F19" s="4" t="s">
        <v>112</v>
      </c>
    </row>
    <row r="20" spans="1:6" x14ac:dyDescent="0.3">
      <c r="A20" s="13">
        <v>46228</v>
      </c>
      <c r="B20" s="4">
        <v>288</v>
      </c>
      <c r="C20" s="4">
        <v>25</v>
      </c>
      <c r="D20" s="4">
        <v>19</v>
      </c>
      <c r="E20" s="4" t="s">
        <v>113</v>
      </c>
      <c r="F20" s="4" t="s">
        <v>114</v>
      </c>
    </row>
    <row r="21" spans="1:6" x14ac:dyDescent="0.3">
      <c r="A21" s="13">
        <v>46229</v>
      </c>
      <c r="B21" s="4">
        <v>116</v>
      </c>
      <c r="C21" s="4">
        <v>8</v>
      </c>
      <c r="D21" s="4">
        <v>8</v>
      </c>
      <c r="E21" s="4" t="s">
        <v>115</v>
      </c>
      <c r="F21" s="4" t="s">
        <v>116</v>
      </c>
    </row>
    <row r="22" spans="1:6" x14ac:dyDescent="0.3">
      <c r="A22" s="13">
        <v>46230</v>
      </c>
      <c r="B22" s="4">
        <v>140</v>
      </c>
      <c r="C22" s="4">
        <v>20</v>
      </c>
      <c r="D22" s="4">
        <v>17</v>
      </c>
      <c r="E22" s="4" t="s">
        <v>117</v>
      </c>
      <c r="F22" s="4" t="s">
        <v>118</v>
      </c>
    </row>
    <row r="23" spans="1:6" x14ac:dyDescent="0.3">
      <c r="A23" s="13">
        <v>46231</v>
      </c>
      <c r="B23" s="4">
        <v>115</v>
      </c>
      <c r="C23" s="4">
        <v>12</v>
      </c>
      <c r="D23" s="4">
        <v>9</v>
      </c>
      <c r="E23" s="4" t="s">
        <v>119</v>
      </c>
      <c r="F23" s="4" t="s">
        <v>120</v>
      </c>
    </row>
    <row r="24" spans="1:6" x14ac:dyDescent="0.3">
      <c r="A24" s="13">
        <v>46232</v>
      </c>
      <c r="B24" s="4">
        <v>255</v>
      </c>
      <c r="C24" s="4">
        <v>23</v>
      </c>
      <c r="D24" s="4">
        <v>17</v>
      </c>
      <c r="E24" s="4" t="s">
        <v>121</v>
      </c>
      <c r="F24" s="4" t="s">
        <v>122</v>
      </c>
    </row>
    <row r="25" spans="1:6" x14ac:dyDescent="0.3">
      <c r="A25" s="13">
        <v>46233</v>
      </c>
      <c r="B25" s="4">
        <v>135</v>
      </c>
      <c r="C25" s="4">
        <v>14</v>
      </c>
      <c r="D25" s="4">
        <v>11</v>
      </c>
      <c r="E25" s="4" t="s">
        <v>123</v>
      </c>
      <c r="F25" s="4" t="s">
        <v>124</v>
      </c>
    </row>
    <row r="26" spans="1:6" x14ac:dyDescent="0.3">
      <c r="A26" s="13">
        <v>46234</v>
      </c>
      <c r="B26" s="4">
        <v>145</v>
      </c>
      <c r="C26" s="4">
        <v>10</v>
      </c>
      <c r="D26" s="4">
        <v>10</v>
      </c>
      <c r="E26" s="4" t="s">
        <v>125</v>
      </c>
      <c r="F26" s="4" t="s">
        <v>126</v>
      </c>
    </row>
    <row r="27" spans="1:6" x14ac:dyDescent="0.3">
      <c r="A27" s="13">
        <v>46235</v>
      </c>
      <c r="B27" s="4">
        <v>272</v>
      </c>
      <c r="C27" s="4">
        <v>17</v>
      </c>
      <c r="D27" s="4">
        <v>14</v>
      </c>
      <c r="E27" s="4" t="s">
        <v>127</v>
      </c>
      <c r="F27" s="4" t="s">
        <v>128</v>
      </c>
    </row>
    <row r="28" spans="1:6" x14ac:dyDescent="0.3">
      <c r="A28" s="13">
        <v>46236</v>
      </c>
      <c r="B28" s="4">
        <v>186</v>
      </c>
      <c r="C28" s="4">
        <v>13</v>
      </c>
      <c r="D28" s="4">
        <v>10</v>
      </c>
      <c r="E28" s="4" t="s">
        <v>129</v>
      </c>
      <c r="F28" s="4" t="s">
        <v>130</v>
      </c>
    </row>
    <row r="29" spans="1:6" x14ac:dyDescent="0.3">
      <c r="A29" s="13">
        <v>46237</v>
      </c>
      <c r="B29" s="4">
        <v>63</v>
      </c>
      <c r="C29" s="4">
        <v>7</v>
      </c>
      <c r="D29" s="4">
        <v>6</v>
      </c>
      <c r="E29" s="4" t="s">
        <v>131</v>
      </c>
      <c r="F29" s="4" t="s">
        <v>132</v>
      </c>
    </row>
    <row r="30" spans="1:6" x14ac:dyDescent="0.3">
      <c r="A30" s="13">
        <v>46238</v>
      </c>
      <c r="B30" s="4">
        <v>358</v>
      </c>
      <c r="C30" s="4">
        <v>24</v>
      </c>
      <c r="D30" s="4">
        <v>18</v>
      </c>
      <c r="E30" s="4" t="s">
        <v>133</v>
      </c>
      <c r="F30" s="4" t="s">
        <v>134</v>
      </c>
    </row>
    <row r="31" spans="1:6" x14ac:dyDescent="0.3">
      <c r="A31" s="13">
        <v>46239</v>
      </c>
      <c r="B31" s="4">
        <v>348</v>
      </c>
      <c r="C31" s="4">
        <v>23</v>
      </c>
      <c r="D31" s="4">
        <v>17</v>
      </c>
      <c r="E31" s="4" t="s">
        <v>135</v>
      </c>
      <c r="F31" s="4" t="s">
        <v>136</v>
      </c>
    </row>
    <row r="32" spans="1:6" x14ac:dyDescent="0.3">
      <c r="A32" s="13">
        <v>46240</v>
      </c>
      <c r="B32" s="4">
        <v>107</v>
      </c>
      <c r="C32" s="4">
        <v>7</v>
      </c>
      <c r="D32" s="4">
        <v>6</v>
      </c>
      <c r="E32" s="4" t="s">
        <v>137</v>
      </c>
      <c r="F32" s="4" t="s">
        <v>138</v>
      </c>
    </row>
    <row r="33" spans="1:6" x14ac:dyDescent="0.3">
      <c r="A33" s="13">
        <v>46241</v>
      </c>
      <c r="B33" s="4">
        <v>272</v>
      </c>
      <c r="C33" s="4">
        <v>27</v>
      </c>
      <c r="D33" s="4">
        <v>20</v>
      </c>
      <c r="E33" s="4" t="s">
        <v>139</v>
      </c>
      <c r="F33" s="4" t="s">
        <v>140</v>
      </c>
    </row>
    <row r="34" spans="1:6" x14ac:dyDescent="0.3">
      <c r="A34" s="13">
        <v>46242</v>
      </c>
      <c r="B34" s="4">
        <v>275</v>
      </c>
      <c r="C34" s="4">
        <v>20</v>
      </c>
      <c r="D34" s="4">
        <v>17</v>
      </c>
      <c r="E34" s="4" t="s">
        <v>141</v>
      </c>
      <c r="F34" s="4" t="s">
        <v>142</v>
      </c>
    </row>
    <row r="35" spans="1:6" x14ac:dyDescent="0.3">
      <c r="A35" s="13">
        <v>46243</v>
      </c>
      <c r="B35" s="4">
        <v>168</v>
      </c>
      <c r="C35" s="4">
        <v>7</v>
      </c>
      <c r="D35" s="4">
        <v>7</v>
      </c>
      <c r="E35" s="4" t="s">
        <v>143</v>
      </c>
      <c r="F35" s="4" t="s">
        <v>144</v>
      </c>
    </row>
    <row r="36" spans="1:6" x14ac:dyDescent="0.3">
      <c r="A36" s="13">
        <v>46244</v>
      </c>
      <c r="B36" s="4">
        <v>383</v>
      </c>
      <c r="C36" s="4">
        <v>20</v>
      </c>
      <c r="D36" s="4">
        <v>18</v>
      </c>
      <c r="E36" s="4" t="s">
        <v>145</v>
      </c>
      <c r="F36" s="4" t="s">
        <v>146</v>
      </c>
    </row>
    <row r="37" spans="1:6" x14ac:dyDescent="0.3">
      <c r="A37" s="13">
        <v>46245</v>
      </c>
      <c r="B37" s="4">
        <v>346</v>
      </c>
      <c r="C37" s="4">
        <v>37</v>
      </c>
      <c r="D37" s="4">
        <v>31</v>
      </c>
      <c r="E37" s="4" t="s">
        <v>147</v>
      </c>
      <c r="F37" s="4" t="s">
        <v>148</v>
      </c>
    </row>
    <row r="38" spans="1:6" x14ac:dyDescent="0.3">
      <c r="A38" s="13">
        <v>46246</v>
      </c>
      <c r="B38" s="4">
        <v>288</v>
      </c>
      <c r="C38" s="4">
        <v>26</v>
      </c>
      <c r="D38" s="4">
        <v>21</v>
      </c>
      <c r="E38" s="4" t="s">
        <v>149</v>
      </c>
      <c r="F38" s="4" t="s">
        <v>150</v>
      </c>
    </row>
    <row r="39" spans="1:6" x14ac:dyDescent="0.3">
      <c r="A39" s="13">
        <v>46247</v>
      </c>
      <c r="B39" s="4">
        <v>73</v>
      </c>
      <c r="C39" s="4">
        <v>7</v>
      </c>
      <c r="D39" s="4">
        <v>5</v>
      </c>
      <c r="E39" s="4" t="s">
        <v>151</v>
      </c>
      <c r="F39" s="4" t="s">
        <v>152</v>
      </c>
    </row>
    <row r="40" spans="1:6" x14ac:dyDescent="0.3">
      <c r="A40" s="13">
        <v>46248</v>
      </c>
      <c r="B40" s="4">
        <v>267</v>
      </c>
      <c r="C40" s="4">
        <v>16</v>
      </c>
      <c r="D40" s="4">
        <v>12</v>
      </c>
      <c r="E40" s="4" t="s">
        <v>153</v>
      </c>
      <c r="F40" s="4" t="s">
        <v>154</v>
      </c>
    </row>
    <row r="41" spans="1:6" x14ac:dyDescent="0.3">
      <c r="A41" s="13">
        <v>46249</v>
      </c>
      <c r="B41" s="4">
        <v>155</v>
      </c>
      <c r="C41" s="4">
        <v>14</v>
      </c>
      <c r="D41" s="4">
        <v>14</v>
      </c>
      <c r="E41" s="4" t="s">
        <v>155</v>
      </c>
      <c r="F41" s="4" t="s">
        <v>156</v>
      </c>
    </row>
    <row r="42" spans="1:6" x14ac:dyDescent="0.3">
      <c r="A42" s="13">
        <v>46250</v>
      </c>
      <c r="B42" s="4">
        <v>228</v>
      </c>
      <c r="C42" s="4">
        <v>20</v>
      </c>
      <c r="D42" s="4">
        <v>19</v>
      </c>
      <c r="E42" s="4" t="s">
        <v>157</v>
      </c>
      <c r="F42" s="4" t="s">
        <v>158</v>
      </c>
    </row>
    <row r="43" spans="1:6" x14ac:dyDescent="0.3">
      <c r="A43" s="13">
        <v>46251</v>
      </c>
      <c r="B43" s="4">
        <v>182</v>
      </c>
      <c r="C43" s="4">
        <v>16</v>
      </c>
      <c r="D43" s="4">
        <v>14</v>
      </c>
      <c r="E43" s="4" t="s">
        <v>159</v>
      </c>
      <c r="F43" s="4" t="s">
        <v>160</v>
      </c>
    </row>
    <row r="44" spans="1:6" x14ac:dyDescent="0.3">
      <c r="A44" s="13">
        <v>46252</v>
      </c>
      <c r="B44" s="4">
        <v>62</v>
      </c>
      <c r="C44" s="4">
        <v>4</v>
      </c>
      <c r="D44" s="4">
        <v>4</v>
      </c>
      <c r="E44" s="4" t="s">
        <v>161</v>
      </c>
      <c r="F44" s="4" t="s">
        <v>162</v>
      </c>
    </row>
    <row r="45" spans="1:6" x14ac:dyDescent="0.3">
      <c r="A45" s="13">
        <v>46253</v>
      </c>
      <c r="B45" s="4">
        <v>87</v>
      </c>
      <c r="C45" s="4">
        <v>7</v>
      </c>
      <c r="D45" s="4">
        <v>6</v>
      </c>
      <c r="E45" s="4" t="s">
        <v>163</v>
      </c>
      <c r="F45" s="4" t="s">
        <v>164</v>
      </c>
    </row>
    <row r="46" spans="1:6" x14ac:dyDescent="0.3">
      <c r="A46" s="13">
        <v>46254</v>
      </c>
      <c r="B46" s="4">
        <v>237</v>
      </c>
      <c r="C46" s="4">
        <v>19</v>
      </c>
      <c r="D46" s="4">
        <v>16</v>
      </c>
      <c r="E46" s="4" t="s">
        <v>165</v>
      </c>
      <c r="F46" s="4" t="s">
        <v>166</v>
      </c>
    </row>
    <row r="47" spans="1:6" x14ac:dyDescent="0.3">
      <c r="A47" s="13">
        <v>46255</v>
      </c>
      <c r="B47" s="4">
        <v>362</v>
      </c>
      <c r="C47" s="4">
        <v>30</v>
      </c>
      <c r="D47" s="4">
        <v>21</v>
      </c>
      <c r="E47" s="4" t="s">
        <v>167</v>
      </c>
      <c r="F47" s="4" t="s">
        <v>168</v>
      </c>
    </row>
    <row r="48" spans="1:6" x14ac:dyDescent="0.3">
      <c r="A48" s="13">
        <v>46256</v>
      </c>
      <c r="B48" s="4">
        <v>239</v>
      </c>
      <c r="C48" s="4">
        <v>17</v>
      </c>
      <c r="D48" s="4">
        <v>15</v>
      </c>
      <c r="E48" s="4" t="s">
        <v>169</v>
      </c>
      <c r="F48" s="4" t="s">
        <v>170</v>
      </c>
    </row>
    <row r="49" spans="1:6" x14ac:dyDescent="0.3">
      <c r="A49" s="13">
        <v>46257</v>
      </c>
      <c r="B49" s="4">
        <v>206</v>
      </c>
      <c r="C49" s="4">
        <v>23</v>
      </c>
      <c r="D49" s="4">
        <v>20</v>
      </c>
      <c r="E49" s="4" t="s">
        <v>171</v>
      </c>
      <c r="F49" s="4" t="s">
        <v>172</v>
      </c>
    </row>
    <row r="50" spans="1:6" x14ac:dyDescent="0.3">
      <c r="A50" s="13">
        <v>46258</v>
      </c>
      <c r="B50" s="4">
        <v>456</v>
      </c>
      <c r="C50" s="4">
        <v>35</v>
      </c>
      <c r="D50" s="4">
        <v>29</v>
      </c>
      <c r="E50" s="4" t="s">
        <v>173</v>
      </c>
      <c r="F50" s="4" t="s">
        <v>174</v>
      </c>
    </row>
    <row r="51" spans="1:6" x14ac:dyDescent="0.3">
      <c r="A51" s="13">
        <v>46259</v>
      </c>
      <c r="B51" s="4">
        <v>271</v>
      </c>
      <c r="C51" s="4">
        <v>31</v>
      </c>
      <c r="D51" s="4">
        <v>23</v>
      </c>
      <c r="E51" s="4" t="s">
        <v>175</v>
      </c>
      <c r="F51" s="4" t="s">
        <v>176</v>
      </c>
    </row>
    <row r="52" spans="1:6" x14ac:dyDescent="0.3">
      <c r="A52" s="13">
        <v>46260</v>
      </c>
      <c r="B52" s="4">
        <v>776</v>
      </c>
      <c r="C52" s="4">
        <v>55</v>
      </c>
      <c r="D52" s="4">
        <v>39</v>
      </c>
      <c r="E52" s="4" t="s">
        <v>177</v>
      </c>
      <c r="F52" s="4" t="s">
        <v>178</v>
      </c>
    </row>
    <row r="53" spans="1:6" x14ac:dyDescent="0.3">
      <c r="A53" s="13">
        <v>46261</v>
      </c>
      <c r="B53" s="4">
        <v>444</v>
      </c>
      <c r="C53" s="4">
        <v>44</v>
      </c>
      <c r="D53" s="4">
        <v>28</v>
      </c>
      <c r="E53" s="4" t="s">
        <v>179</v>
      </c>
      <c r="F53" s="4" t="s">
        <v>180</v>
      </c>
    </row>
    <row r="54" spans="1:6" x14ac:dyDescent="0.3">
      <c r="A54" s="13">
        <v>46262</v>
      </c>
      <c r="B54" s="4">
        <v>226</v>
      </c>
      <c r="C54" s="4">
        <v>22</v>
      </c>
      <c r="D54" s="4">
        <v>13</v>
      </c>
      <c r="E54" s="4" t="s">
        <v>181</v>
      </c>
      <c r="F54" s="4" t="s">
        <v>182</v>
      </c>
    </row>
    <row r="55" spans="1:6" x14ac:dyDescent="0.3">
      <c r="A55" s="13">
        <v>46263</v>
      </c>
      <c r="B55" s="4">
        <v>51</v>
      </c>
      <c r="C55" s="4">
        <v>8</v>
      </c>
      <c r="D55" s="4">
        <v>2</v>
      </c>
      <c r="E55" s="4" t="s">
        <v>183</v>
      </c>
      <c r="F55" s="4" t="s">
        <v>184</v>
      </c>
    </row>
    <row r="56" spans="1:6" x14ac:dyDescent="0.3">
      <c r="A56" s="13">
        <v>46264</v>
      </c>
      <c r="B56" s="4">
        <v>228</v>
      </c>
      <c r="C56" s="4">
        <v>25</v>
      </c>
      <c r="D56" s="4">
        <v>17</v>
      </c>
      <c r="E56" s="4" t="s">
        <v>185</v>
      </c>
      <c r="F56" s="4" t="s">
        <v>186</v>
      </c>
    </row>
  </sheetData>
  <pageMargins left="0.7" right="0.7" top="0.75" bottom="0.75" header="0.3" footer="0.3"/>
  <pageSetup fitToHeight="0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850D-A704-46E3-8555-E4DEAE5DFDC0}">
  <sheetPr>
    <pageSetUpPr fitToPage="1"/>
  </sheetPr>
  <dimension ref="A1:H14"/>
  <sheetViews>
    <sheetView workbookViewId="0"/>
  </sheetViews>
  <sheetFormatPr defaultRowHeight="14.4" x14ac:dyDescent="0.3"/>
  <cols>
    <col min="1" max="1" width="25.77734375" style="4" customWidth="1"/>
    <col min="2" max="2" width="54.77734375" style="4" customWidth="1"/>
    <col min="3" max="3" width="56.77734375" style="4" customWidth="1"/>
    <col min="4" max="16384" width="8.88671875" style="4"/>
  </cols>
  <sheetData>
    <row r="1" spans="1:8" ht="24" customHeight="1" x14ac:dyDescent="0.3">
      <c r="A1" s="2" t="s">
        <v>187</v>
      </c>
      <c r="B1" s="3"/>
      <c r="C1" s="3"/>
      <c r="D1" s="3"/>
      <c r="E1" s="3"/>
      <c r="F1" s="3"/>
      <c r="G1" s="3"/>
      <c r="H1" s="3"/>
    </row>
    <row r="2" spans="1:8" ht="24" customHeight="1" x14ac:dyDescent="0.3">
      <c r="A2" s="5" t="s">
        <v>188</v>
      </c>
      <c r="B2" s="6"/>
      <c r="C2" s="6"/>
      <c r="D2" s="6"/>
      <c r="E2" s="6"/>
      <c r="F2" s="6"/>
      <c r="G2" s="6"/>
      <c r="H2" s="6"/>
    </row>
    <row r="4" spans="1:8" x14ac:dyDescent="0.3">
      <c r="A4" s="1" t="s">
        <v>22</v>
      </c>
      <c r="B4" s="1" t="s">
        <v>23</v>
      </c>
      <c r="C4" s="1" t="s">
        <v>3</v>
      </c>
    </row>
    <row r="5" spans="1:8" x14ac:dyDescent="0.3">
      <c r="A5" s="7" t="s">
        <v>189</v>
      </c>
      <c r="B5" s="7" t="s">
        <v>190</v>
      </c>
      <c r="C5" s="7" t="s">
        <v>191</v>
      </c>
    </row>
    <row r="6" spans="1:8" x14ac:dyDescent="0.3">
      <c r="A6" s="7" t="s">
        <v>49</v>
      </c>
      <c r="B6" s="7">
        <v>14909703</v>
      </c>
      <c r="C6" s="7" t="s">
        <v>192</v>
      </c>
    </row>
    <row r="7" spans="1:8" x14ac:dyDescent="0.3">
      <c r="A7" s="7" t="s">
        <v>193</v>
      </c>
      <c r="B7" s="7" t="s">
        <v>70</v>
      </c>
      <c r="C7" s="7" t="s">
        <v>194</v>
      </c>
    </row>
    <row r="8" spans="1:8" x14ac:dyDescent="0.3">
      <c r="A8" s="7" t="s">
        <v>51</v>
      </c>
      <c r="B8" s="7" t="s">
        <v>71</v>
      </c>
      <c r="C8" s="7" t="s">
        <v>195</v>
      </c>
    </row>
    <row r="9" spans="1:8" x14ac:dyDescent="0.3">
      <c r="A9" s="7" t="s">
        <v>54</v>
      </c>
      <c r="B9" s="7">
        <v>6</v>
      </c>
      <c r="C9" s="7" t="s">
        <v>196</v>
      </c>
    </row>
    <row r="10" spans="1:8" x14ac:dyDescent="0.3">
      <c r="A10" s="7" t="s">
        <v>55</v>
      </c>
      <c r="B10" s="7">
        <v>2</v>
      </c>
      <c r="C10" s="7" t="s">
        <v>197</v>
      </c>
    </row>
    <row r="11" spans="1:8" x14ac:dyDescent="0.3">
      <c r="A11" s="7" t="s">
        <v>198</v>
      </c>
      <c r="B11" s="7">
        <v>1</v>
      </c>
      <c r="C11" s="7" t="s">
        <v>199</v>
      </c>
    </row>
    <row r="12" spans="1:8" x14ac:dyDescent="0.3">
      <c r="A12" s="7" t="s">
        <v>33</v>
      </c>
      <c r="B12" s="7">
        <v>1</v>
      </c>
      <c r="C12" s="7" t="s">
        <v>200</v>
      </c>
    </row>
    <row r="13" spans="1:8" x14ac:dyDescent="0.3">
      <c r="A13" s="7" t="s">
        <v>201</v>
      </c>
      <c r="B13" s="9">
        <f>B12/B11</f>
        <v>1</v>
      </c>
      <c r="C13" s="7" t="s">
        <v>202</v>
      </c>
    </row>
    <row r="14" spans="1:8" x14ac:dyDescent="0.3">
      <c r="A14" s="7" t="s">
        <v>203</v>
      </c>
      <c r="B14" s="7">
        <v>204</v>
      </c>
      <c r="C14" s="7" t="s">
        <v>204</v>
      </c>
    </row>
  </sheetData>
  <mergeCells count="2">
    <mergeCell ref="A1:H1"/>
    <mergeCell ref="A2:H2"/>
  </mergeCells>
  <pageMargins left="0.7" right="0.7" top="0.75" bottom="0.75" header="0.3" footer="0.3"/>
  <pageSetup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F72E-D08F-433C-AD7A-7343EFAC10C2}">
  <sheetPr>
    <pageSetUpPr fitToPage="1"/>
  </sheetPr>
  <dimension ref="A1:P3"/>
  <sheetViews>
    <sheetView workbookViewId="0"/>
  </sheetViews>
  <sheetFormatPr defaultRowHeight="14.4" x14ac:dyDescent="0.3"/>
  <cols>
    <col min="1" max="1" width="10.77734375" style="4" bestFit="1" customWidth="1"/>
    <col min="2" max="2" width="28.77734375" style="4" customWidth="1"/>
    <col min="3" max="3" width="11.21875" style="4" bestFit="1" customWidth="1"/>
    <col min="4" max="4" width="15" style="4" bestFit="1" customWidth="1"/>
    <col min="5" max="5" width="18" style="4" bestFit="1" customWidth="1"/>
    <col min="6" max="6" width="16.5546875" style="4" bestFit="1" customWidth="1"/>
    <col min="7" max="7" width="15.88671875" style="4" bestFit="1" customWidth="1"/>
    <col min="8" max="9" width="16.5546875" style="4" bestFit="1" customWidth="1"/>
    <col min="10" max="10" width="10.77734375" style="4" bestFit="1" customWidth="1"/>
    <col min="11" max="11" width="11.6640625" style="4" bestFit="1" customWidth="1"/>
    <col min="12" max="12" width="13.77734375" style="4" bestFit="1" customWidth="1"/>
    <col min="13" max="13" width="14.33203125" style="4" bestFit="1" customWidth="1"/>
    <col min="14" max="15" width="19.33203125" style="4" bestFit="1" customWidth="1"/>
    <col min="16" max="16" width="23.21875" style="4" bestFit="1" customWidth="1"/>
    <col min="17" max="16384" width="8.88671875" style="4"/>
  </cols>
  <sheetData>
    <row r="1" spans="1:16" x14ac:dyDescent="0.3">
      <c r="A1" s="1" t="s">
        <v>205</v>
      </c>
      <c r="B1" s="1" t="s">
        <v>206</v>
      </c>
      <c r="C1" s="1" t="s">
        <v>189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</row>
    <row r="2" spans="1:16" x14ac:dyDescent="0.3">
      <c r="A2" s="12">
        <v>1</v>
      </c>
      <c r="B2" s="12" t="s">
        <v>220</v>
      </c>
      <c r="C2" s="12" t="s">
        <v>221</v>
      </c>
      <c r="D2" s="12" t="s">
        <v>222</v>
      </c>
      <c r="E2" s="12">
        <v>59470</v>
      </c>
      <c r="F2" s="14">
        <v>10.598161388888888</v>
      </c>
      <c r="G2" s="12">
        <v>22</v>
      </c>
      <c r="H2" s="14">
        <v>6.2590000000000003</v>
      </c>
      <c r="I2" s="14">
        <v>6.4930000000000003</v>
      </c>
      <c r="J2" s="14">
        <v>12.4</v>
      </c>
      <c r="K2" s="14">
        <v>14.757</v>
      </c>
      <c r="L2" s="14">
        <v>175</v>
      </c>
      <c r="M2" s="14">
        <v>65</v>
      </c>
      <c r="N2" s="15">
        <v>16.869</v>
      </c>
      <c r="O2" s="15">
        <v>16.847999999999999</v>
      </c>
      <c r="P2" s="16">
        <v>676</v>
      </c>
    </row>
    <row r="3" spans="1:16" x14ac:dyDescent="0.3">
      <c r="A3" s="12">
        <v>2</v>
      </c>
      <c r="B3" s="12" t="s">
        <v>223</v>
      </c>
      <c r="C3" s="12" t="s">
        <v>221</v>
      </c>
      <c r="D3" s="12" t="s">
        <v>222</v>
      </c>
      <c r="E3" s="12">
        <v>59508</v>
      </c>
      <c r="F3" s="14">
        <v>10.704094722222223</v>
      </c>
      <c r="G3" s="12">
        <v>22</v>
      </c>
      <c r="H3" s="14">
        <v>6.5069999999999997</v>
      </c>
      <c r="I3" s="14">
        <v>6.6959999999999997</v>
      </c>
      <c r="J3" s="14">
        <v>12.651999999999999</v>
      </c>
      <c r="K3" s="14">
        <v>13.694000000000001</v>
      </c>
      <c r="L3" s="14">
        <v>175</v>
      </c>
      <c r="M3" s="14">
        <v>65</v>
      </c>
      <c r="N3" s="15">
        <v>16.859000000000002</v>
      </c>
      <c r="O3" s="15">
        <v>16.843</v>
      </c>
      <c r="P3" s="16">
        <v>676</v>
      </c>
    </row>
  </sheetData>
  <pageMargins left="0.7" right="0.7" top="0.75" bottom="0.75" header="0.3" footer="0.3"/>
  <pageSetup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58BE-1C80-4818-908E-11E9C793671A}">
  <sheetPr>
    <pageSetUpPr fitToPage="1"/>
  </sheetPr>
  <dimension ref="A1:H20"/>
  <sheetViews>
    <sheetView workbookViewId="0"/>
  </sheetViews>
  <sheetFormatPr defaultRowHeight="14.4" x14ac:dyDescent="0.3"/>
  <cols>
    <col min="1" max="1" width="22.77734375" style="4" customWidth="1"/>
    <col min="2" max="2" width="52.77734375" style="4" customWidth="1"/>
    <col min="3" max="3" width="26.77734375" style="4" customWidth="1"/>
    <col min="4" max="4" width="58.77734375" style="4" customWidth="1"/>
    <col min="5" max="16384" width="8.88671875" style="4"/>
  </cols>
  <sheetData>
    <row r="1" spans="1:8" ht="24" customHeight="1" x14ac:dyDescent="0.3">
      <c r="A1" s="2" t="s">
        <v>224</v>
      </c>
      <c r="B1" s="3"/>
      <c r="C1" s="3"/>
      <c r="D1" s="3"/>
      <c r="E1" s="3"/>
      <c r="F1" s="3"/>
      <c r="G1" s="3"/>
      <c r="H1" s="3"/>
    </row>
    <row r="2" spans="1:8" ht="24" customHeight="1" x14ac:dyDescent="0.3">
      <c r="A2" s="5" t="s">
        <v>225</v>
      </c>
      <c r="B2" s="6"/>
      <c r="C2" s="6"/>
      <c r="D2" s="6"/>
      <c r="E2" s="6"/>
      <c r="F2" s="6"/>
      <c r="G2" s="6"/>
      <c r="H2" s="6"/>
    </row>
    <row r="4" spans="1:8" x14ac:dyDescent="0.3">
      <c r="A4" s="1" t="s">
        <v>226</v>
      </c>
      <c r="B4" s="1" t="s">
        <v>227</v>
      </c>
      <c r="C4" s="1" t="s">
        <v>228</v>
      </c>
      <c r="D4" s="1" t="s">
        <v>229</v>
      </c>
    </row>
    <row r="5" spans="1:8" x14ac:dyDescent="0.3">
      <c r="A5" s="7" t="s">
        <v>230</v>
      </c>
      <c r="B5" s="7" t="s">
        <v>231</v>
      </c>
      <c r="C5" s="7" t="s">
        <v>232</v>
      </c>
      <c r="D5" s="7" t="s">
        <v>233</v>
      </c>
    </row>
    <row r="6" spans="1:8" x14ac:dyDescent="0.3">
      <c r="A6" s="7" t="s">
        <v>234</v>
      </c>
      <c r="B6" s="7" t="s">
        <v>235</v>
      </c>
      <c r="C6" s="7" t="s">
        <v>236</v>
      </c>
      <c r="D6" s="7" t="s">
        <v>237</v>
      </c>
    </row>
    <row r="7" spans="1:8" x14ac:dyDescent="0.3">
      <c r="A7" s="7" t="s">
        <v>238</v>
      </c>
      <c r="B7" s="7" t="s">
        <v>239</v>
      </c>
      <c r="C7" s="7" t="s">
        <v>10</v>
      </c>
      <c r="D7" s="7" t="s">
        <v>240</v>
      </c>
    </row>
    <row r="8" spans="1:8" x14ac:dyDescent="0.3">
      <c r="A8" s="7" t="s">
        <v>241</v>
      </c>
      <c r="B8" s="7" t="s">
        <v>242</v>
      </c>
      <c r="C8" s="7" t="s">
        <v>243</v>
      </c>
      <c r="D8" s="7" t="s">
        <v>244</v>
      </c>
    </row>
    <row r="9" spans="1:8" x14ac:dyDescent="0.3">
      <c r="A9" s="7" t="s">
        <v>245</v>
      </c>
      <c r="B9" s="7" t="s">
        <v>246</v>
      </c>
      <c r="C9" s="7" t="s">
        <v>232</v>
      </c>
      <c r="D9" s="7" t="s">
        <v>247</v>
      </c>
    </row>
    <row r="10" spans="1:8" x14ac:dyDescent="0.3">
      <c r="A10" s="7" t="s">
        <v>248</v>
      </c>
      <c r="B10" s="7" t="s">
        <v>249</v>
      </c>
      <c r="C10" s="7" t="s">
        <v>250</v>
      </c>
      <c r="D10" s="7" t="s">
        <v>251</v>
      </c>
    </row>
    <row r="11" spans="1:8" x14ac:dyDescent="0.3">
      <c r="A11" s="7" t="s">
        <v>252</v>
      </c>
      <c r="B11" s="7" t="s">
        <v>253</v>
      </c>
      <c r="C11" s="7" t="s">
        <v>243</v>
      </c>
      <c r="D11" s="7" t="s">
        <v>254</v>
      </c>
    </row>
    <row r="12" spans="1:8" x14ac:dyDescent="0.3">
      <c r="A12" s="7" t="s">
        <v>255</v>
      </c>
      <c r="B12" s="7" t="s">
        <v>256</v>
      </c>
      <c r="C12" s="7" t="s">
        <v>10</v>
      </c>
      <c r="D12" s="7" t="s">
        <v>257</v>
      </c>
    </row>
    <row r="13" spans="1:8" x14ac:dyDescent="0.3">
      <c r="A13" s="7" t="s">
        <v>258</v>
      </c>
      <c r="B13" s="7" t="s">
        <v>259</v>
      </c>
      <c r="C13" s="7" t="s">
        <v>10</v>
      </c>
      <c r="D13" s="7" t="s">
        <v>257</v>
      </c>
    </row>
    <row r="14" spans="1:8" x14ac:dyDescent="0.3">
      <c r="A14" s="7" t="s">
        <v>260</v>
      </c>
      <c r="B14" s="7" t="s">
        <v>261</v>
      </c>
      <c r="C14" s="7" t="s">
        <v>262</v>
      </c>
      <c r="D14" s="7" t="s">
        <v>263</v>
      </c>
    </row>
    <row r="15" spans="1:8" x14ac:dyDescent="0.3">
      <c r="A15" s="7"/>
      <c r="B15" s="7"/>
      <c r="C15" s="7"/>
      <c r="D15" s="7"/>
    </row>
    <row r="16" spans="1:8" x14ac:dyDescent="0.3">
      <c r="A16" s="7"/>
      <c r="B16" s="7"/>
      <c r="C16" s="7"/>
      <c r="D16" s="7"/>
    </row>
    <row r="17" spans="1:4" x14ac:dyDescent="0.3">
      <c r="A17" s="7"/>
      <c r="B17" s="7"/>
      <c r="C17" s="7"/>
      <c r="D17" s="7"/>
    </row>
    <row r="18" spans="1:4" x14ac:dyDescent="0.3">
      <c r="A18" s="7"/>
      <c r="B18" s="7"/>
      <c r="C18" s="7"/>
      <c r="D18" s="7"/>
    </row>
    <row r="19" spans="1:4" x14ac:dyDescent="0.3">
      <c r="A19" s="7"/>
      <c r="B19" s="7"/>
      <c r="C19" s="7"/>
      <c r="D19" s="7"/>
    </row>
    <row r="20" spans="1:4" x14ac:dyDescent="0.3">
      <c r="A20" s="7"/>
      <c r="B20" s="7"/>
      <c r="C20" s="7"/>
      <c r="D20" s="7"/>
    </row>
  </sheetData>
  <mergeCells count="2">
    <mergeCell ref="A1:H1"/>
    <mergeCell ref="A2:H2"/>
  </mergeCells>
  <pageMargins left="0.7" right="0.7" top="0.75" bottom="0.75" header="0.3" footer="0.3"/>
  <pageSetup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Summary</vt:lpstr>
      <vt:lpstr>Audio Validation</vt:lpstr>
      <vt:lpstr>Historical Daily</vt:lpstr>
      <vt:lpstr>Latest Demo</vt:lpstr>
      <vt:lpstr>Latest Telemetry</vt:lpstr>
      <vt:lpstr>Dashboard 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KOYO Project</dc:creator>
  <cp:lastModifiedBy>KOYO Project</cp:lastModifiedBy>
  <dcterms:created xsi:type="dcterms:W3CDTF">2026-08-31T06:57:41Z</dcterms:created>
  <dcterms:modified xsi:type="dcterms:W3CDTF">2026-08-31T06:58:06Z</dcterms:modified>
</cp:coreProperties>
</file>